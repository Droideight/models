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Fun/Dataplayground/Models/"/>
    </mc:Choice>
  </mc:AlternateContent>
  <xr:revisionPtr revIDLastSave="0" documentId="8_{500052A3-1D80-204E-92F2-6B783530ED73}" xr6:coauthVersionLast="47" xr6:coauthVersionMax="47" xr10:uidLastSave="{00000000-0000-0000-0000-000000000000}"/>
  <bookViews>
    <workbookView xWindow="1000" yWindow="840" windowWidth="28240" windowHeight="17120" activeTab="1" xr2:uid="{74C8F9CF-BF57-264C-9828-6B15757DB8ED}"/>
  </bookViews>
  <sheets>
    <sheet name="GEN" sheetId="1" r:id="rId1"/>
    <sheet name="INSTANCE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1" l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D35" i="1"/>
  <c r="F35" i="1" s="1"/>
  <c r="D34" i="1"/>
  <c r="F34" i="1" s="1"/>
  <c r="D33" i="1"/>
  <c r="F33" i="1" s="1"/>
  <c r="D32" i="1"/>
  <c r="F32" i="1" s="1"/>
  <c r="D23" i="1"/>
  <c r="F23" i="1" s="1"/>
  <c r="D22" i="1"/>
  <c r="F22" i="1" s="1"/>
  <c r="D21" i="1"/>
  <c r="F21" i="1" s="1"/>
  <c r="D20" i="1"/>
  <c r="F20" i="1" s="1"/>
  <c r="D14" i="1"/>
  <c r="F14" i="1" s="1"/>
  <c r="D11" i="1"/>
  <c r="F11" i="1" s="1"/>
  <c r="D10" i="1"/>
  <c r="F10" i="1" s="1"/>
  <c r="D9" i="1"/>
  <c r="F9" i="1" s="1"/>
  <c r="D8" i="1"/>
  <c r="F8" i="1" s="1"/>
  <c r="D2" i="1"/>
  <c r="F2" i="1" s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42" i="1"/>
  <c r="E42" i="1" s="1"/>
  <c r="B41" i="1"/>
  <c r="E41" i="1" s="1"/>
  <c r="B40" i="1"/>
  <c r="E40" i="1" s="1"/>
  <c r="B39" i="1"/>
  <c r="E39" i="1" s="1"/>
  <c r="B38" i="1"/>
  <c r="E38" i="1" s="1"/>
  <c r="B32" i="1"/>
  <c r="E32" i="1" s="1"/>
  <c r="B30" i="1"/>
  <c r="E30" i="1" s="1"/>
  <c r="B29" i="1"/>
  <c r="E29" i="1" s="1"/>
  <c r="B28" i="1"/>
  <c r="E28" i="1" s="1"/>
  <c r="B27" i="1"/>
  <c r="E27" i="1" s="1"/>
  <c r="B26" i="1"/>
  <c r="E26" i="1" s="1"/>
  <c r="B20" i="1"/>
  <c r="E20" i="1" s="1"/>
  <c r="B18" i="1"/>
  <c r="E18" i="1" s="1"/>
  <c r="B17" i="1"/>
  <c r="E17" i="1" s="1"/>
  <c r="B16" i="1"/>
  <c r="E16" i="1" s="1"/>
  <c r="B15" i="1"/>
  <c r="E15" i="1" s="1"/>
  <c r="B14" i="1"/>
  <c r="E14" i="1" s="1"/>
  <c r="B8" i="1"/>
  <c r="E8" i="1" s="1"/>
  <c r="B6" i="1"/>
  <c r="E6" i="1" s="1"/>
  <c r="B5" i="1"/>
  <c r="E5" i="1" s="1"/>
  <c r="B4" i="1"/>
  <c r="E4" i="1" s="1"/>
  <c r="B3" i="1"/>
  <c r="E3" i="1" s="1"/>
  <c r="B2" i="1"/>
  <c r="E2" i="1" s="1"/>
  <c r="I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J17" i="1" l="1"/>
  <c r="G17" i="1" s="1"/>
  <c r="J5" i="1"/>
  <c r="G5" i="1" s="1"/>
  <c r="J29" i="1"/>
  <c r="G29" i="1" s="1"/>
  <c r="J6" i="1"/>
  <c r="G6" i="1" s="1"/>
  <c r="J20" i="1"/>
  <c r="G20" i="1" s="1"/>
  <c r="J30" i="1"/>
  <c r="G30" i="1" s="1"/>
  <c r="J8" i="1"/>
  <c r="G8" i="1" s="1"/>
  <c r="J32" i="1"/>
  <c r="G32" i="1" s="1"/>
  <c r="J41" i="1"/>
  <c r="G41" i="1" s="1"/>
  <c r="J42" i="1"/>
  <c r="G42" i="1" s="1"/>
  <c r="J18" i="1"/>
  <c r="G18" i="1" s="1"/>
  <c r="J14" i="1"/>
  <c r="G14" i="1" s="1"/>
  <c r="J26" i="1"/>
  <c r="G26" i="1" s="1"/>
  <c r="J38" i="1"/>
  <c r="G38" i="1" s="1"/>
  <c r="J3" i="1"/>
  <c r="G3" i="1" s="1"/>
  <c r="J15" i="1"/>
  <c r="G15" i="1" s="1"/>
  <c r="J27" i="1"/>
  <c r="G27" i="1" s="1"/>
  <c r="J39" i="1"/>
  <c r="G39" i="1" s="1"/>
  <c r="I8" i="1"/>
  <c r="I32" i="1"/>
  <c r="J4" i="1"/>
  <c r="G4" i="1" s="1"/>
  <c r="J16" i="1"/>
  <c r="G16" i="1" s="1"/>
  <c r="J28" i="1"/>
  <c r="G28" i="1" s="1"/>
  <c r="J40" i="1"/>
  <c r="G40" i="1" s="1"/>
  <c r="I14" i="1"/>
  <c r="J2" i="1"/>
  <c r="G2" i="1" s="1"/>
  <c r="I20" i="1"/>
  <c r="H8" i="1"/>
  <c r="H20" i="1"/>
  <c r="H32" i="1"/>
  <c r="H14" i="1"/>
  <c r="H2" i="1"/>
  <c r="A44" i="1"/>
  <c r="D43" i="1"/>
  <c r="B43" i="1"/>
  <c r="D12" i="1"/>
  <c r="D24" i="1"/>
  <c r="D36" i="1"/>
  <c r="B7" i="1"/>
  <c r="B19" i="1"/>
  <c r="B31" i="1"/>
  <c r="D13" i="1"/>
  <c r="D25" i="1"/>
  <c r="D37" i="1"/>
  <c r="B9" i="1"/>
  <c r="D15" i="1"/>
  <c r="I15" i="1" s="1"/>
  <c r="D27" i="1"/>
  <c r="I27" i="1" s="1"/>
  <c r="B11" i="1"/>
  <c r="B23" i="1"/>
  <c r="B35" i="1"/>
  <c r="D5" i="1"/>
  <c r="I5" i="1" s="1"/>
  <c r="D17" i="1"/>
  <c r="I17" i="1" s="1"/>
  <c r="D29" i="1"/>
  <c r="I29" i="1" s="1"/>
  <c r="D41" i="1"/>
  <c r="I41" i="1" s="1"/>
  <c r="B33" i="1"/>
  <c r="D3" i="1"/>
  <c r="I3" i="1" s="1"/>
  <c r="D39" i="1"/>
  <c r="I39" i="1" s="1"/>
  <c r="B34" i="1"/>
  <c r="B12" i="1"/>
  <c r="B24" i="1"/>
  <c r="B36" i="1"/>
  <c r="D6" i="1"/>
  <c r="I6" i="1" s="1"/>
  <c r="D18" i="1"/>
  <c r="I18" i="1" s="1"/>
  <c r="D30" i="1"/>
  <c r="I30" i="1" s="1"/>
  <c r="D42" i="1"/>
  <c r="I42" i="1" s="1"/>
  <c r="D26" i="1"/>
  <c r="I26" i="1" s="1"/>
  <c r="D38" i="1"/>
  <c r="I38" i="1" s="1"/>
  <c r="B21" i="1"/>
  <c r="B10" i="1"/>
  <c r="B22" i="1"/>
  <c r="D4" i="1"/>
  <c r="I4" i="1" s="1"/>
  <c r="D16" i="1"/>
  <c r="I16" i="1" s="1"/>
  <c r="D28" i="1"/>
  <c r="I28" i="1" s="1"/>
  <c r="D40" i="1"/>
  <c r="I40" i="1" s="1"/>
  <c r="B13" i="1"/>
  <c r="B25" i="1"/>
  <c r="B37" i="1"/>
  <c r="D7" i="1"/>
  <c r="D19" i="1"/>
  <c r="D31" i="1"/>
  <c r="E34" i="1" l="1"/>
  <c r="H34" i="1" s="1"/>
  <c r="J34" i="1"/>
  <c r="G34" i="1" s="1"/>
  <c r="E22" i="1"/>
  <c r="I22" i="1" s="1"/>
  <c r="J22" i="1"/>
  <c r="G22" i="1" s="1"/>
  <c r="E9" i="1"/>
  <c r="I9" i="1" s="1"/>
  <c r="J9" i="1"/>
  <c r="G9" i="1" s="1"/>
  <c r="E21" i="1"/>
  <c r="I21" i="1" s="1"/>
  <c r="J21" i="1"/>
  <c r="G21" i="1" s="1"/>
  <c r="E33" i="1"/>
  <c r="I33" i="1" s="1"/>
  <c r="J33" i="1"/>
  <c r="G33" i="1" s="1"/>
  <c r="E31" i="1"/>
  <c r="I31" i="1" s="1"/>
  <c r="J31" i="1"/>
  <c r="G31" i="1" s="1"/>
  <c r="E10" i="1"/>
  <c r="J10" i="1"/>
  <c r="G10" i="1" s="1"/>
  <c r="E37" i="1"/>
  <c r="I37" i="1" s="1"/>
  <c r="J37" i="1"/>
  <c r="G37" i="1" s="1"/>
  <c r="E25" i="1"/>
  <c r="I25" i="1" s="1"/>
  <c r="J25" i="1"/>
  <c r="G25" i="1" s="1"/>
  <c r="E19" i="1"/>
  <c r="I19" i="1" s="1"/>
  <c r="J19" i="1"/>
  <c r="G19" i="1" s="1"/>
  <c r="E13" i="1"/>
  <c r="H13" i="1" s="1"/>
  <c r="J13" i="1"/>
  <c r="G13" i="1" s="1"/>
  <c r="E7" i="1"/>
  <c r="I7" i="1" s="1"/>
  <c r="J7" i="1"/>
  <c r="G7" i="1" s="1"/>
  <c r="E35" i="1"/>
  <c r="J35" i="1"/>
  <c r="G35" i="1" s="1"/>
  <c r="E36" i="1"/>
  <c r="J36" i="1"/>
  <c r="G36" i="1" s="1"/>
  <c r="E23" i="1"/>
  <c r="H23" i="1" s="1"/>
  <c r="J23" i="1"/>
  <c r="G23" i="1" s="1"/>
  <c r="E24" i="1"/>
  <c r="H24" i="1" s="1"/>
  <c r="J24" i="1"/>
  <c r="G24" i="1" s="1"/>
  <c r="E11" i="1"/>
  <c r="H11" i="1" s="1"/>
  <c r="J11" i="1"/>
  <c r="G11" i="1" s="1"/>
  <c r="E12" i="1"/>
  <c r="I12" i="1" s="1"/>
  <c r="J12" i="1"/>
  <c r="G12" i="1" s="1"/>
  <c r="E43" i="1"/>
  <c r="I43" i="1" s="1"/>
  <c r="J43" i="1"/>
  <c r="G43" i="1" s="1"/>
  <c r="I36" i="1"/>
  <c r="H9" i="1"/>
  <c r="I34" i="1"/>
  <c r="I23" i="1"/>
  <c r="H22" i="1"/>
  <c r="H10" i="1"/>
  <c r="I10" i="1"/>
  <c r="H35" i="1"/>
  <c r="I35" i="1"/>
  <c r="F12" i="1"/>
  <c r="F4" i="1"/>
  <c r="H4" i="1"/>
  <c r="F27" i="1"/>
  <c r="H27" i="1"/>
  <c r="F3" i="1"/>
  <c r="H3" i="1"/>
  <c r="F37" i="1"/>
  <c r="H37" i="1"/>
  <c r="F38" i="1"/>
  <c r="H38" i="1"/>
  <c r="F25" i="1"/>
  <c r="F16" i="1"/>
  <c r="H16" i="1"/>
  <c r="F15" i="1"/>
  <c r="H15" i="1"/>
  <c r="F43" i="1"/>
  <c r="F39" i="1"/>
  <c r="H39" i="1"/>
  <c r="F31" i="1"/>
  <c r="F19" i="1"/>
  <c r="H19" i="1"/>
  <c r="F7" i="1"/>
  <c r="F26" i="1"/>
  <c r="H26" i="1"/>
  <c r="F41" i="1"/>
  <c r="H41" i="1"/>
  <c r="F13" i="1"/>
  <c r="F42" i="1"/>
  <c r="H42" i="1"/>
  <c r="F29" i="1"/>
  <c r="H29" i="1"/>
  <c r="F30" i="1"/>
  <c r="H30" i="1"/>
  <c r="F17" i="1"/>
  <c r="H17" i="1"/>
  <c r="F18" i="1"/>
  <c r="H18" i="1"/>
  <c r="F5" i="1"/>
  <c r="H5" i="1"/>
  <c r="F40" i="1"/>
  <c r="H40" i="1"/>
  <c r="F6" i="1"/>
  <c r="H6" i="1"/>
  <c r="F36" i="1"/>
  <c r="H36" i="1"/>
  <c r="F28" i="1"/>
  <c r="H28" i="1"/>
  <c r="F24" i="1"/>
  <c r="A45" i="1"/>
  <c r="B44" i="1"/>
  <c r="D44" i="1"/>
  <c r="H43" i="1" l="1"/>
  <c r="I24" i="1"/>
  <c r="H25" i="1"/>
  <c r="I11" i="1"/>
  <c r="H33" i="1"/>
  <c r="H21" i="1"/>
  <c r="H7" i="1"/>
  <c r="H12" i="1"/>
  <c r="I13" i="1"/>
  <c r="E44" i="1"/>
  <c r="I44" i="1" s="1"/>
  <c r="J44" i="1"/>
  <c r="G44" i="1" s="1"/>
  <c r="H31" i="1"/>
  <c r="F44" i="1"/>
  <c r="A46" i="1"/>
  <c r="B45" i="1"/>
  <c r="D45" i="1"/>
  <c r="H44" i="1" l="1"/>
  <c r="E45" i="1"/>
  <c r="J45" i="1"/>
  <c r="G45" i="1" s="1"/>
  <c r="I45" i="1"/>
  <c r="F45" i="1"/>
  <c r="H45" i="1"/>
  <c r="A47" i="1"/>
  <c r="B46" i="1"/>
  <c r="D46" i="1"/>
  <c r="E46" i="1" l="1"/>
  <c r="J46" i="1"/>
  <c r="G46" i="1" s="1"/>
  <c r="I46" i="1"/>
  <c r="F46" i="1"/>
  <c r="H46" i="1"/>
  <c r="A48" i="1"/>
  <c r="D47" i="1"/>
  <c r="B47" i="1"/>
  <c r="E47" i="1" l="1"/>
  <c r="I47" i="1" s="1"/>
  <c r="J47" i="1"/>
  <c r="G47" i="1" s="1"/>
  <c r="F47" i="1"/>
  <c r="H47" i="1"/>
  <c r="A49" i="1"/>
  <c r="B48" i="1"/>
  <c r="D48" i="1"/>
  <c r="E48" i="1" l="1"/>
  <c r="J48" i="1"/>
  <c r="G48" i="1" s="1"/>
  <c r="I48" i="1"/>
  <c r="F48" i="1"/>
  <c r="H48" i="1"/>
  <c r="A50" i="1"/>
  <c r="B49" i="1"/>
  <c r="D49" i="1"/>
  <c r="E49" i="1" l="1"/>
  <c r="I49" i="1" s="1"/>
  <c r="J49" i="1"/>
  <c r="G49" i="1" s="1"/>
  <c r="F49" i="1"/>
  <c r="A51" i="1"/>
  <c r="D50" i="1"/>
  <c r="B50" i="1"/>
  <c r="H49" i="1" l="1"/>
  <c r="E50" i="1"/>
  <c r="I50" i="1" s="1"/>
  <c r="J50" i="1"/>
  <c r="G50" i="1" s="1"/>
  <c r="F50" i="1"/>
  <c r="H50" i="1"/>
  <c r="A52" i="1"/>
  <c r="D51" i="1"/>
  <c r="B51" i="1"/>
  <c r="E51" i="1" l="1"/>
  <c r="I51" i="1" s="1"/>
  <c r="J51" i="1"/>
  <c r="G51" i="1" s="1"/>
  <c r="F51" i="1"/>
  <c r="H51" i="1"/>
  <c r="A53" i="1"/>
  <c r="B52" i="1"/>
  <c r="D52" i="1"/>
  <c r="E52" i="1" l="1"/>
  <c r="J52" i="1"/>
  <c r="G52" i="1" s="1"/>
  <c r="I52" i="1"/>
  <c r="F52" i="1"/>
  <c r="H52" i="1"/>
  <c r="B53" i="1"/>
  <c r="A54" i="1"/>
  <c r="D53" i="1"/>
  <c r="E53" i="1" l="1"/>
  <c r="J53" i="1"/>
  <c r="G53" i="1" s="1"/>
  <c r="I53" i="1"/>
  <c r="F53" i="1"/>
  <c r="H53" i="1"/>
  <c r="A55" i="1"/>
  <c r="D54" i="1"/>
  <c r="B54" i="1"/>
  <c r="E54" i="1" l="1"/>
  <c r="I54" i="1" s="1"/>
  <c r="J54" i="1"/>
  <c r="G54" i="1" s="1"/>
  <c r="F54" i="1"/>
  <c r="H54" i="1"/>
  <c r="A56" i="1"/>
  <c r="D55" i="1"/>
  <c r="B55" i="1"/>
  <c r="E55" i="1" l="1"/>
  <c r="I55" i="1" s="1"/>
  <c r="J55" i="1"/>
  <c r="G55" i="1" s="1"/>
  <c r="F55" i="1"/>
  <c r="A57" i="1"/>
  <c r="B56" i="1"/>
  <c r="D56" i="1"/>
  <c r="H55" i="1" l="1"/>
  <c r="E56" i="1"/>
  <c r="J56" i="1"/>
  <c r="G56" i="1" s="1"/>
  <c r="I56" i="1"/>
  <c r="F56" i="1"/>
  <c r="H56" i="1"/>
  <c r="A58" i="1"/>
  <c r="B57" i="1"/>
  <c r="D57" i="1"/>
  <c r="E57" i="1" l="1"/>
  <c r="J57" i="1"/>
  <c r="G57" i="1" s="1"/>
  <c r="I57" i="1"/>
  <c r="F57" i="1"/>
  <c r="H57" i="1"/>
  <c r="A59" i="1"/>
  <c r="B58" i="1"/>
  <c r="D58" i="1"/>
  <c r="E58" i="1" l="1"/>
  <c r="J58" i="1"/>
  <c r="G58" i="1" s="1"/>
  <c r="I58" i="1"/>
  <c r="F58" i="1"/>
  <c r="H58" i="1"/>
  <c r="A60" i="1"/>
  <c r="D59" i="1"/>
  <c r="B59" i="1"/>
  <c r="E59" i="1" l="1"/>
  <c r="I59" i="1" s="1"/>
  <c r="J59" i="1"/>
  <c r="G59" i="1" s="1"/>
  <c r="F59" i="1"/>
  <c r="H59" i="1"/>
  <c r="A61" i="1"/>
  <c r="B60" i="1"/>
  <c r="D60" i="1"/>
  <c r="E60" i="1" l="1"/>
  <c r="H60" i="1" s="1"/>
  <c r="J60" i="1"/>
  <c r="G60" i="1" s="1"/>
  <c r="F60" i="1"/>
  <c r="A62" i="1"/>
  <c r="B61" i="1"/>
  <c r="D61" i="1"/>
  <c r="I60" i="1" l="1"/>
  <c r="E61" i="1"/>
  <c r="J61" i="1"/>
  <c r="G61" i="1" s="1"/>
  <c r="I61" i="1"/>
  <c r="F61" i="1"/>
  <c r="H61" i="1"/>
  <c r="A63" i="1"/>
  <c r="D62" i="1"/>
  <c r="B62" i="1"/>
  <c r="E62" i="1" l="1"/>
  <c r="I62" i="1" s="1"/>
  <c r="J62" i="1"/>
  <c r="G62" i="1" s="1"/>
  <c r="F62" i="1"/>
  <c r="H62" i="1"/>
  <c r="A64" i="1"/>
  <c r="D63" i="1"/>
  <c r="B63" i="1"/>
  <c r="E63" i="1" l="1"/>
  <c r="I63" i="1" s="1"/>
  <c r="J63" i="1"/>
  <c r="G63" i="1" s="1"/>
  <c r="F63" i="1"/>
  <c r="H63" i="1"/>
  <c r="A65" i="1"/>
  <c r="D64" i="1"/>
  <c r="B64" i="1"/>
  <c r="E64" i="1" l="1"/>
  <c r="I64" i="1" s="1"/>
  <c r="J64" i="1"/>
  <c r="G64" i="1" s="1"/>
  <c r="F64" i="1"/>
  <c r="H64" i="1"/>
  <c r="A66" i="1"/>
  <c r="B65" i="1"/>
  <c r="D65" i="1"/>
  <c r="E65" i="1" l="1"/>
  <c r="J65" i="1"/>
  <c r="G65" i="1" s="1"/>
  <c r="I65" i="1"/>
  <c r="F65" i="1"/>
  <c r="H65" i="1"/>
  <c r="A67" i="1"/>
  <c r="D66" i="1"/>
  <c r="B66" i="1"/>
  <c r="E66" i="1" l="1"/>
  <c r="I66" i="1" s="1"/>
  <c r="J66" i="1"/>
  <c r="G66" i="1" s="1"/>
  <c r="F66" i="1"/>
  <c r="H66" i="1"/>
  <c r="A68" i="1"/>
  <c r="D67" i="1"/>
  <c r="B67" i="1"/>
  <c r="E67" i="1" l="1"/>
  <c r="I67" i="1" s="1"/>
  <c r="J67" i="1"/>
  <c r="G67" i="1" s="1"/>
  <c r="F67" i="1"/>
  <c r="A69" i="1"/>
  <c r="B68" i="1"/>
  <c r="D68" i="1"/>
  <c r="H67" i="1" l="1"/>
  <c r="E68" i="1"/>
  <c r="I68" i="1" s="1"/>
  <c r="J68" i="1"/>
  <c r="G68" i="1" s="1"/>
  <c r="F68" i="1"/>
  <c r="A70" i="1"/>
  <c r="B69" i="1"/>
  <c r="D69" i="1"/>
  <c r="H68" i="1" l="1"/>
  <c r="E69" i="1"/>
  <c r="J69" i="1"/>
  <c r="G69" i="1" s="1"/>
  <c r="I69" i="1"/>
  <c r="F69" i="1"/>
  <c r="H69" i="1"/>
  <c r="A71" i="1"/>
  <c r="B70" i="1"/>
  <c r="D70" i="1"/>
  <c r="E70" i="1" l="1"/>
  <c r="J70" i="1"/>
  <c r="G70" i="1" s="1"/>
  <c r="I70" i="1"/>
  <c r="F70" i="1"/>
  <c r="H70" i="1"/>
  <c r="A72" i="1"/>
  <c r="B71" i="1"/>
  <c r="D71" i="1"/>
  <c r="E71" i="1" l="1"/>
  <c r="J71" i="1"/>
  <c r="G71" i="1" s="1"/>
  <c r="I71" i="1"/>
  <c r="F71" i="1"/>
  <c r="H71" i="1"/>
  <c r="A73" i="1"/>
  <c r="B72" i="1"/>
  <c r="D72" i="1"/>
  <c r="E72" i="1" l="1"/>
  <c r="I72" i="1" s="1"/>
  <c r="J72" i="1"/>
  <c r="G72" i="1" s="1"/>
  <c r="F72" i="1"/>
  <c r="H72" i="1"/>
  <c r="A74" i="1"/>
  <c r="B73" i="1"/>
  <c r="D73" i="1"/>
  <c r="E73" i="1" l="1"/>
  <c r="J73" i="1"/>
  <c r="G73" i="1" s="1"/>
  <c r="I73" i="1"/>
  <c r="F73" i="1"/>
  <c r="H73" i="1"/>
  <c r="A75" i="1"/>
  <c r="D74" i="1"/>
  <c r="B74" i="1"/>
  <c r="E74" i="1" l="1"/>
  <c r="I74" i="1" s="1"/>
  <c r="J74" i="1"/>
  <c r="G74" i="1" s="1"/>
  <c r="F74" i="1"/>
  <c r="H74" i="1"/>
  <c r="A76" i="1"/>
  <c r="B75" i="1"/>
  <c r="D75" i="1"/>
  <c r="E75" i="1" l="1"/>
  <c r="J75" i="1"/>
  <c r="G75" i="1" s="1"/>
  <c r="I75" i="1"/>
  <c r="F75" i="1"/>
  <c r="H75" i="1"/>
  <c r="D76" i="1"/>
  <c r="B76" i="1"/>
  <c r="E76" i="1" l="1"/>
  <c r="I76" i="1" s="1"/>
  <c r="J76" i="1"/>
  <c r="G76" i="1" s="1"/>
  <c r="F76" i="1"/>
  <c r="H76" i="1"/>
</calcChain>
</file>

<file path=xl/sharedStrings.xml><?xml version="1.0" encoding="utf-8"?>
<sst xmlns="http://schemas.openxmlformats.org/spreadsheetml/2006/main" count="97" uniqueCount="24">
  <si>
    <t>ID</t>
  </si>
  <si>
    <t>ID</t>
    <phoneticPr fontId="1" type="noConversion"/>
  </si>
  <si>
    <t>LDL</t>
  </si>
  <si>
    <t>LDL</t>
    <phoneticPr fontId="1" type="noConversion"/>
  </si>
  <si>
    <t>Statin</t>
  </si>
  <si>
    <t>Statin</t>
    <phoneticPr fontId="1" type="noConversion"/>
  </si>
  <si>
    <t>BMI</t>
  </si>
  <si>
    <t>BMI</t>
    <phoneticPr fontId="1" type="noConversion"/>
  </si>
  <si>
    <t>Age</t>
  </si>
  <si>
    <t>Age</t>
    <phoneticPr fontId="1" type="noConversion"/>
  </si>
  <si>
    <t>Sex</t>
  </si>
  <si>
    <t>Sex</t>
    <phoneticPr fontId="1" type="noConversion"/>
  </si>
  <si>
    <t>GeneS</t>
  </si>
  <si>
    <t>GeneS</t>
    <phoneticPr fontId="1" type="noConversion"/>
  </si>
  <si>
    <t>GeneA</t>
  </si>
  <si>
    <t>GeneA</t>
    <phoneticPr fontId="1" type="noConversion"/>
  </si>
  <si>
    <t>BP</t>
  </si>
  <si>
    <t>BP</t>
    <phoneticPr fontId="1" type="noConversion"/>
  </si>
  <si>
    <t>Dog</t>
  </si>
  <si>
    <t>Dog</t>
    <phoneticPr fontId="1" type="noConversion"/>
  </si>
  <si>
    <t>GLU</t>
  </si>
  <si>
    <t>GLU</t>
    <phoneticPr fontId="1" type="noConversion"/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</si>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</sst>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4172-4288-9C41-91FF-B7668DF52157}">
  <dimension ref="A1:K76"/>
  <sheetViews>
    <sheetView workbookViewId="0">
      <selection activeCell="E18" sqref="A1:K76"/>
    </sheetView>
  </sheetViews>
  <sheetFormatPr baseColWidth="10" defaultRowHeight="15"/>
  <sheetData>
    <row r="1" spans="1:11">
      <c r="A1" t="s">
        <v>1</v>
      </c>
      <c r="B1" t="s">
        <v>9</v>
      </c>
      <c r="C1" t="s">
        <v>11</v>
      </c>
      <c r="D1" t="s">
        <v>3</v>
      </c>
      <c r="E1" t="s">
        <v>21</v>
      </c>
      <c r="F1" t="s">
        <v>5</v>
      </c>
      <c r="G1" t="s">
        <v>7</v>
      </c>
      <c r="H1" t="s">
        <v>13</v>
      </c>
      <c r="I1" t="s">
        <v>15</v>
      </c>
      <c r="J1" t="s">
        <v>17</v>
      </c>
      <c r="K1" t="s">
        <v>19</v>
      </c>
    </row>
    <row r="2" spans="1:11">
      <c r="A2">
        <v>1</v>
      </c>
      <c r="B2">
        <f ca="1">24+RANDBETWEEN(-6+A2/10,6+A2/10)+(A2/2)</f>
        <v>29.5</v>
      </c>
      <c r="C2" t="str">
        <f ca="1">IF(RANDBETWEEN(-1,0)&gt;-1,"M","F")</f>
        <v>M</v>
      </c>
      <c r="D2">
        <f ca="1">90+RANDBETWEEN(-40+A2/2,40+A2/2)</f>
        <v>64</v>
      </c>
      <c r="E2">
        <f ca="1">85+RANDBETWEEN(-20+B2/2,20+B2/2)</f>
        <v>107</v>
      </c>
      <c r="F2" t="str">
        <f ca="1">IF(RANDBETWEEN(-1,2)&gt;-1,IF(D2&gt;110,"TRUE","FALSE"),"FALSE")</f>
        <v>FALSE</v>
      </c>
      <c r="G2">
        <f ca="1">18.5+(J2/20)+RANDBETWEEN(-5,5)</f>
        <v>29.1</v>
      </c>
      <c r="H2" t="str">
        <f ca="1">IF(D2+E2&gt;175,IF(RAND()&gt;0.3,"TRUE","FALSE"),IF(RAND()&gt;0.7,"TRUE","FALSE"))</f>
        <v>FALSE</v>
      </c>
      <c r="I2" t="str">
        <f ca="1">IF(E2/D2&gt;0.9,IF(RAND()&gt;0.3,"TRUE","FALSE"),IF(RAND()&gt;0.7,"TRUE","FALSE"))</f>
        <v>TRUE</v>
      </c>
      <c r="J2">
        <f ca="1">100+RANDBETWEEN(-20+B2/2,20+B2/2)</f>
        <v>112</v>
      </c>
      <c r="K2" t="str">
        <f ca="1">IF(RANDBETWEEN(-1,0)&gt;-1,"TRUE","FALSE")</f>
        <v>FALSE</v>
      </c>
    </row>
    <row r="3" spans="1:11">
      <c r="A3">
        <f>A2+1</f>
        <v>2</v>
      </c>
      <c r="B3">
        <f t="shared" ref="B3:B66" ca="1" si="0">24+RANDBETWEEN(-6+A3/10,6+A3/10)+(A3/2)</f>
        <v>22</v>
      </c>
      <c r="C3" t="str">
        <f t="shared" ref="C3:C66" ca="1" si="1">IF(RANDBETWEEN(-1,0)&gt;-1,"M","F")</f>
        <v>F</v>
      </c>
      <c r="D3">
        <f t="shared" ref="D3:D66" ca="1" si="2">90+RANDBETWEEN(-40+A3/2,40+A3/2)</f>
        <v>105</v>
      </c>
      <c r="E3">
        <f ca="1">85+RANDBETWEEN(-20+B3/2,20+B3/2)</f>
        <v>90</v>
      </c>
      <c r="F3" t="str">
        <f t="shared" ref="F3:F66" ca="1" si="3">IF(RANDBETWEEN(-1,2)&gt;-1,IF(D3&gt;110,"TRUE","FALSE"),"FALSE")</f>
        <v>FALSE</v>
      </c>
      <c r="G3">
        <f t="shared" ref="G3:G66" ca="1" si="4">18.5+(J3/20)+RANDBETWEEN(-5,5)</f>
        <v>21</v>
      </c>
      <c r="H3" t="str">
        <f t="shared" ref="H3:H66" ca="1" si="5">IF(D3+E3&gt;175,IF(RAND()&gt;0.3,"TRUE","FALSE"),IF(RAND()&gt;0.7,"TRUE","FALSE"))</f>
        <v>FALSE</v>
      </c>
      <c r="I3" t="str">
        <f t="shared" ref="I3:I66" ca="1" si="6">IF(E3/D3&gt;0.9,IF(RAND()&gt;0.3,"TRUE","FALSE"),IF(RAND()&gt;0.7,"TRUE","FALSE"))</f>
        <v>FALSE</v>
      </c>
      <c r="J3">
        <f t="shared" ref="J3:J66" ca="1" si="7">100+RANDBETWEEN(-20+B3/2,20+B3/2)</f>
        <v>130</v>
      </c>
      <c r="K3" t="str">
        <f t="shared" ref="K3:K66" ca="1" si="8">IF(RANDBETWEEN(-1,0)&gt;-1,"TRUE","FALSE")</f>
        <v>FALSE</v>
      </c>
    </row>
    <row r="4" spans="1:11">
      <c r="A4">
        <f t="shared" ref="A4:A67" si="9">A3+1</f>
        <v>3</v>
      </c>
      <c r="B4">
        <f t="shared" ca="1" si="0"/>
        <v>27.5</v>
      </c>
      <c r="C4" t="str">
        <f t="shared" ca="1" si="1"/>
        <v>F</v>
      </c>
      <c r="D4">
        <f t="shared" ca="1" si="2"/>
        <v>84</v>
      </c>
      <c r="E4">
        <f t="shared" ref="E4:E67" ca="1" si="10">85+RANDBETWEEN(-20+B4/2,20+B4/2)</f>
        <v>86</v>
      </c>
      <c r="F4" t="str">
        <f t="shared" ca="1" si="3"/>
        <v>FALSE</v>
      </c>
      <c r="G4">
        <f t="shared" ca="1" si="4"/>
        <v>26.8</v>
      </c>
      <c r="H4" t="str">
        <f t="shared" ca="1" si="5"/>
        <v>FALSE</v>
      </c>
      <c r="I4" t="str">
        <f t="shared" ca="1" si="6"/>
        <v>FALSE</v>
      </c>
      <c r="J4">
        <f t="shared" ca="1" si="7"/>
        <v>106</v>
      </c>
      <c r="K4" t="str">
        <f t="shared" ca="1" si="8"/>
        <v>FALSE</v>
      </c>
    </row>
    <row r="5" spans="1:11">
      <c r="A5">
        <f t="shared" si="9"/>
        <v>4</v>
      </c>
      <c r="B5">
        <f t="shared" ca="1" si="0"/>
        <v>26</v>
      </c>
      <c r="C5" t="str">
        <f t="shared" ca="1" si="1"/>
        <v>F</v>
      </c>
      <c r="D5">
        <f t="shared" ca="1" si="2"/>
        <v>68</v>
      </c>
      <c r="E5">
        <f t="shared" ca="1" si="10"/>
        <v>95</v>
      </c>
      <c r="F5" t="str">
        <f t="shared" ca="1" si="3"/>
        <v>FALSE</v>
      </c>
      <c r="G5">
        <f t="shared" ca="1" si="4"/>
        <v>23.4</v>
      </c>
      <c r="H5" t="str">
        <f t="shared" ca="1" si="5"/>
        <v>TRUE</v>
      </c>
      <c r="I5" t="str">
        <f t="shared" ca="1" si="6"/>
        <v>FALSE</v>
      </c>
      <c r="J5">
        <f t="shared" ca="1" si="7"/>
        <v>98</v>
      </c>
      <c r="K5" t="str">
        <f t="shared" ca="1" si="8"/>
        <v>FALSE</v>
      </c>
    </row>
    <row r="6" spans="1:11">
      <c r="A6">
        <f t="shared" si="9"/>
        <v>5</v>
      </c>
      <c r="B6">
        <f t="shared" ca="1" si="0"/>
        <v>24.5</v>
      </c>
      <c r="C6" t="str">
        <f t="shared" ca="1" si="1"/>
        <v>M</v>
      </c>
      <c r="D6">
        <f t="shared" ca="1" si="2"/>
        <v>78</v>
      </c>
      <c r="E6">
        <f t="shared" ca="1" si="10"/>
        <v>84</v>
      </c>
      <c r="F6" t="str">
        <f t="shared" ca="1" si="3"/>
        <v>FALSE</v>
      </c>
      <c r="G6">
        <f t="shared" ca="1" si="4"/>
        <v>27.65</v>
      </c>
      <c r="H6" t="str">
        <f t="shared" ca="1" si="5"/>
        <v>FALSE</v>
      </c>
      <c r="I6" t="str">
        <f t="shared" ca="1" si="6"/>
        <v>TRUE</v>
      </c>
      <c r="J6">
        <f t="shared" ca="1" si="7"/>
        <v>103</v>
      </c>
      <c r="K6" t="str">
        <f t="shared" ca="1" si="8"/>
        <v>FALSE</v>
      </c>
    </row>
    <row r="7" spans="1:11">
      <c r="A7">
        <f t="shared" si="9"/>
        <v>6</v>
      </c>
      <c r="B7">
        <f t="shared" ca="1" si="0"/>
        <v>26</v>
      </c>
      <c r="C7" t="str">
        <f t="shared" ca="1" si="1"/>
        <v>F</v>
      </c>
      <c r="D7">
        <f t="shared" ca="1" si="2"/>
        <v>128</v>
      </c>
      <c r="E7">
        <f t="shared" ca="1" si="10"/>
        <v>95</v>
      </c>
      <c r="F7" t="str">
        <f t="shared" ca="1" si="3"/>
        <v>TRUE</v>
      </c>
      <c r="G7">
        <f t="shared" ca="1" si="4"/>
        <v>29.15</v>
      </c>
      <c r="H7" t="str">
        <f t="shared" ca="1" si="5"/>
        <v>TRUE</v>
      </c>
      <c r="I7" t="str">
        <f t="shared" ca="1" si="6"/>
        <v>TRUE</v>
      </c>
      <c r="J7">
        <f t="shared" ca="1" si="7"/>
        <v>133</v>
      </c>
      <c r="K7" t="str">
        <f t="shared" ca="1" si="8"/>
        <v>FALSE</v>
      </c>
    </row>
    <row r="8" spans="1:11">
      <c r="A8">
        <f t="shared" si="9"/>
        <v>7</v>
      </c>
      <c r="B8">
        <f t="shared" ca="1" si="0"/>
        <v>33.5</v>
      </c>
      <c r="C8" t="str">
        <f t="shared" ca="1" si="1"/>
        <v>M</v>
      </c>
      <c r="D8">
        <f t="shared" ca="1" si="2"/>
        <v>126</v>
      </c>
      <c r="E8">
        <f t="shared" ca="1" si="10"/>
        <v>120</v>
      </c>
      <c r="F8" t="str">
        <f t="shared" ca="1" si="3"/>
        <v>TRUE</v>
      </c>
      <c r="G8">
        <f t="shared" ca="1" si="4"/>
        <v>27.3</v>
      </c>
      <c r="H8" t="str">
        <f t="shared" ca="1" si="5"/>
        <v>TRUE</v>
      </c>
      <c r="I8" t="str">
        <f t="shared" ca="1" si="6"/>
        <v>TRUE</v>
      </c>
      <c r="J8">
        <f t="shared" ca="1" si="7"/>
        <v>116</v>
      </c>
      <c r="K8" t="str">
        <f t="shared" ca="1" si="8"/>
        <v>TRUE</v>
      </c>
    </row>
    <row r="9" spans="1:11">
      <c r="A9">
        <f t="shared" si="9"/>
        <v>8</v>
      </c>
      <c r="B9">
        <f t="shared" ca="1" si="0"/>
        <v>26</v>
      </c>
      <c r="C9" t="str">
        <f t="shared" ca="1" si="1"/>
        <v>M</v>
      </c>
      <c r="D9">
        <f t="shared" ca="1" si="2"/>
        <v>122</v>
      </c>
      <c r="E9">
        <f t="shared" ca="1" si="10"/>
        <v>101</v>
      </c>
      <c r="F9" t="str">
        <f t="shared" ca="1" si="3"/>
        <v>TRUE</v>
      </c>
      <c r="G9">
        <f t="shared" ca="1" si="4"/>
        <v>22.35</v>
      </c>
      <c r="H9" t="str">
        <f t="shared" ca="1" si="5"/>
        <v>TRUE</v>
      </c>
      <c r="I9" t="str">
        <f t="shared" ca="1" si="6"/>
        <v>FALSE</v>
      </c>
      <c r="J9">
        <f t="shared" ca="1" si="7"/>
        <v>97</v>
      </c>
      <c r="K9" t="str">
        <f t="shared" ca="1" si="8"/>
        <v>FALSE</v>
      </c>
    </row>
    <row r="10" spans="1:11">
      <c r="A10">
        <f t="shared" si="9"/>
        <v>9</v>
      </c>
      <c r="B10">
        <f t="shared" ca="1" si="0"/>
        <v>24.5</v>
      </c>
      <c r="C10" t="str">
        <f t="shared" ca="1" si="1"/>
        <v>F</v>
      </c>
      <c r="D10">
        <f t="shared" ca="1" si="2"/>
        <v>114</v>
      </c>
      <c r="E10">
        <f t="shared" ca="1" si="10"/>
        <v>78</v>
      </c>
      <c r="F10" t="str">
        <f t="shared" ca="1" si="3"/>
        <v>TRUE</v>
      </c>
      <c r="G10">
        <f t="shared" ca="1" si="4"/>
        <v>21.25</v>
      </c>
      <c r="H10" t="str">
        <f t="shared" ca="1" si="5"/>
        <v>TRUE</v>
      </c>
      <c r="I10" t="str">
        <f t="shared" ca="1" si="6"/>
        <v>FALSE</v>
      </c>
      <c r="J10">
        <f t="shared" ca="1" si="7"/>
        <v>95</v>
      </c>
      <c r="K10" t="str">
        <f t="shared" ca="1" si="8"/>
        <v>TRUE</v>
      </c>
    </row>
    <row r="11" spans="1:11">
      <c r="A11">
        <f t="shared" si="9"/>
        <v>10</v>
      </c>
      <c r="B11">
        <f t="shared" ca="1" si="0"/>
        <v>24</v>
      </c>
      <c r="C11" t="str">
        <f t="shared" ca="1" si="1"/>
        <v>M</v>
      </c>
      <c r="D11">
        <f t="shared" ca="1" si="2"/>
        <v>92</v>
      </c>
      <c r="E11">
        <f t="shared" ca="1" si="10"/>
        <v>104</v>
      </c>
      <c r="F11" t="str">
        <f t="shared" ca="1" si="3"/>
        <v>FALSE</v>
      </c>
      <c r="G11">
        <f t="shared" ca="1" si="4"/>
        <v>28.45</v>
      </c>
      <c r="H11" t="str">
        <f t="shared" ca="1" si="5"/>
        <v>TRUE</v>
      </c>
      <c r="I11" t="str">
        <f t="shared" ca="1" si="6"/>
        <v>TRUE</v>
      </c>
      <c r="J11">
        <f t="shared" ca="1" si="7"/>
        <v>119</v>
      </c>
      <c r="K11" t="str">
        <f t="shared" ca="1" si="8"/>
        <v>FALSE</v>
      </c>
    </row>
    <row r="12" spans="1:11">
      <c r="A12">
        <f t="shared" si="9"/>
        <v>11</v>
      </c>
      <c r="B12">
        <f t="shared" ca="1" si="0"/>
        <v>28.5</v>
      </c>
      <c r="C12" t="str">
        <f t="shared" ca="1" si="1"/>
        <v>M</v>
      </c>
      <c r="D12">
        <f t="shared" ca="1" si="2"/>
        <v>112</v>
      </c>
      <c r="E12">
        <f t="shared" ca="1" si="10"/>
        <v>85</v>
      </c>
      <c r="F12" t="str">
        <f t="shared" ca="1" si="3"/>
        <v>FALSE</v>
      </c>
      <c r="G12">
        <f t="shared" ca="1" si="4"/>
        <v>30.05</v>
      </c>
      <c r="H12" t="str">
        <f t="shared" ca="1" si="5"/>
        <v>FALSE</v>
      </c>
      <c r="I12" t="str">
        <f t="shared" ca="1" si="6"/>
        <v>FALSE</v>
      </c>
      <c r="J12">
        <f t="shared" ca="1" si="7"/>
        <v>131</v>
      </c>
      <c r="K12" t="str">
        <f t="shared" ca="1" si="8"/>
        <v>TRUE</v>
      </c>
    </row>
    <row r="13" spans="1:11">
      <c r="A13">
        <f t="shared" si="9"/>
        <v>12</v>
      </c>
      <c r="B13">
        <f t="shared" ca="1" si="0"/>
        <v>28</v>
      </c>
      <c r="C13" t="str">
        <f t="shared" ca="1" si="1"/>
        <v>M</v>
      </c>
      <c r="D13">
        <f t="shared" ca="1" si="2"/>
        <v>60</v>
      </c>
      <c r="E13">
        <f t="shared" ca="1" si="10"/>
        <v>99</v>
      </c>
      <c r="F13" t="str">
        <f t="shared" ca="1" si="3"/>
        <v>FALSE</v>
      </c>
      <c r="G13">
        <f t="shared" ca="1" si="4"/>
        <v>18.45</v>
      </c>
      <c r="H13" t="str">
        <f t="shared" ca="1" si="5"/>
        <v>FALSE</v>
      </c>
      <c r="I13" t="str">
        <f t="shared" ca="1" si="6"/>
        <v>TRUE</v>
      </c>
      <c r="J13">
        <f t="shared" ca="1" si="7"/>
        <v>99</v>
      </c>
      <c r="K13" t="str">
        <f t="shared" ca="1" si="8"/>
        <v>TRUE</v>
      </c>
    </row>
    <row r="14" spans="1:11">
      <c r="A14">
        <f t="shared" si="9"/>
        <v>13</v>
      </c>
      <c r="B14">
        <f t="shared" ca="1" si="0"/>
        <v>32.5</v>
      </c>
      <c r="C14" t="str">
        <f t="shared" ca="1" si="1"/>
        <v>M</v>
      </c>
      <c r="D14">
        <f t="shared" ca="1" si="2"/>
        <v>104</v>
      </c>
      <c r="E14">
        <f t="shared" ca="1" si="10"/>
        <v>120</v>
      </c>
      <c r="F14" t="str">
        <f t="shared" ca="1" si="3"/>
        <v>FALSE</v>
      </c>
      <c r="G14">
        <f t="shared" ca="1" si="4"/>
        <v>25.3</v>
      </c>
      <c r="H14" t="str">
        <f t="shared" ca="1" si="5"/>
        <v>TRUE</v>
      </c>
      <c r="I14" t="str">
        <f t="shared" ca="1" si="6"/>
        <v>TRUE</v>
      </c>
      <c r="J14">
        <f t="shared" ca="1" si="7"/>
        <v>116</v>
      </c>
      <c r="K14" t="str">
        <f t="shared" ca="1" si="8"/>
        <v>TRUE</v>
      </c>
    </row>
    <row r="15" spans="1:11">
      <c r="A15">
        <f t="shared" si="9"/>
        <v>14</v>
      </c>
      <c r="B15">
        <f t="shared" ca="1" si="0"/>
        <v>32</v>
      </c>
      <c r="C15" t="str">
        <f t="shared" ca="1" si="1"/>
        <v>F</v>
      </c>
      <c r="D15">
        <f t="shared" ca="1" si="2"/>
        <v>65</v>
      </c>
      <c r="E15">
        <f t="shared" ca="1" si="10"/>
        <v>112</v>
      </c>
      <c r="F15" t="str">
        <f t="shared" ca="1" si="3"/>
        <v>FALSE</v>
      </c>
      <c r="G15">
        <f t="shared" ca="1" si="4"/>
        <v>28.25</v>
      </c>
      <c r="H15" t="str">
        <f t="shared" ca="1" si="5"/>
        <v>TRUE</v>
      </c>
      <c r="I15" t="str">
        <f t="shared" ca="1" si="6"/>
        <v>FALSE</v>
      </c>
      <c r="J15">
        <f t="shared" ca="1" si="7"/>
        <v>135</v>
      </c>
      <c r="K15" t="str">
        <f t="shared" ca="1" si="8"/>
        <v>TRUE</v>
      </c>
    </row>
    <row r="16" spans="1:11">
      <c r="A16">
        <f t="shared" si="9"/>
        <v>15</v>
      </c>
      <c r="B16">
        <f t="shared" ca="1" si="0"/>
        <v>38.5</v>
      </c>
      <c r="C16" t="str">
        <f t="shared" ca="1" si="1"/>
        <v>M</v>
      </c>
      <c r="D16">
        <f t="shared" ca="1" si="2"/>
        <v>76</v>
      </c>
      <c r="E16">
        <f t="shared" ca="1" si="10"/>
        <v>88</v>
      </c>
      <c r="F16" t="str">
        <f t="shared" ca="1" si="3"/>
        <v>FALSE</v>
      </c>
      <c r="G16">
        <f t="shared" ca="1" si="4"/>
        <v>28.95</v>
      </c>
      <c r="H16" t="str">
        <f t="shared" ca="1" si="5"/>
        <v>FALSE</v>
      </c>
      <c r="I16" t="str">
        <f t="shared" ca="1" si="6"/>
        <v>TRUE</v>
      </c>
      <c r="J16">
        <f t="shared" ca="1" si="7"/>
        <v>109</v>
      </c>
      <c r="K16" t="str">
        <f t="shared" ca="1" si="8"/>
        <v>TRUE</v>
      </c>
    </row>
    <row r="17" spans="1:11">
      <c r="A17">
        <f t="shared" si="9"/>
        <v>16</v>
      </c>
      <c r="B17">
        <f t="shared" ca="1" si="0"/>
        <v>33</v>
      </c>
      <c r="C17" t="str">
        <f t="shared" ca="1" si="1"/>
        <v>F</v>
      </c>
      <c r="D17">
        <f t="shared" ca="1" si="2"/>
        <v>88</v>
      </c>
      <c r="E17">
        <f t="shared" ca="1" si="10"/>
        <v>100</v>
      </c>
      <c r="F17" t="str">
        <f t="shared" ca="1" si="3"/>
        <v>FALSE</v>
      </c>
      <c r="G17">
        <f t="shared" ca="1" si="4"/>
        <v>24.15</v>
      </c>
      <c r="H17" t="str">
        <f t="shared" ca="1" si="5"/>
        <v>TRUE</v>
      </c>
      <c r="I17" t="str">
        <f t="shared" ca="1" si="6"/>
        <v>TRUE</v>
      </c>
      <c r="J17">
        <f t="shared" ca="1" si="7"/>
        <v>133</v>
      </c>
      <c r="K17" t="str">
        <f t="shared" ca="1" si="8"/>
        <v>TRUE</v>
      </c>
    </row>
    <row r="18" spans="1:11">
      <c r="A18">
        <f t="shared" si="9"/>
        <v>17</v>
      </c>
      <c r="B18">
        <f t="shared" ca="1" si="0"/>
        <v>39.5</v>
      </c>
      <c r="C18" t="str">
        <f t="shared" ca="1" si="1"/>
        <v>F</v>
      </c>
      <c r="D18">
        <f t="shared" ca="1" si="2"/>
        <v>131</v>
      </c>
      <c r="E18">
        <f t="shared" ca="1" si="10"/>
        <v>99</v>
      </c>
      <c r="F18" t="str">
        <f t="shared" ca="1" si="3"/>
        <v>TRUE</v>
      </c>
      <c r="G18">
        <f t="shared" ca="1" si="4"/>
        <v>21.15</v>
      </c>
      <c r="H18" t="str">
        <f t="shared" ca="1" si="5"/>
        <v>FALSE</v>
      </c>
      <c r="I18" t="str">
        <f t="shared" ca="1" si="6"/>
        <v>FALSE</v>
      </c>
      <c r="J18">
        <f t="shared" ca="1" si="7"/>
        <v>133</v>
      </c>
      <c r="K18" t="str">
        <f t="shared" ca="1" si="8"/>
        <v>TRUE</v>
      </c>
    </row>
    <row r="19" spans="1:11">
      <c r="A19">
        <f t="shared" si="9"/>
        <v>18</v>
      </c>
      <c r="B19">
        <f t="shared" ca="1" si="0"/>
        <v>33</v>
      </c>
      <c r="C19" t="str">
        <f t="shared" ca="1" si="1"/>
        <v>F</v>
      </c>
      <c r="D19">
        <f t="shared" ca="1" si="2"/>
        <v>92</v>
      </c>
      <c r="E19">
        <f t="shared" ca="1" si="10"/>
        <v>106</v>
      </c>
      <c r="F19" t="str">
        <f t="shared" ca="1" si="3"/>
        <v>FALSE</v>
      </c>
      <c r="G19">
        <f t="shared" ca="1" si="4"/>
        <v>22.85</v>
      </c>
      <c r="H19" t="str">
        <f t="shared" ca="1" si="5"/>
        <v>FALSE</v>
      </c>
      <c r="I19" t="str">
        <f t="shared" ca="1" si="6"/>
        <v>TRUE</v>
      </c>
      <c r="J19">
        <f t="shared" ca="1" si="7"/>
        <v>107</v>
      </c>
      <c r="K19" t="str">
        <f t="shared" ca="1" si="8"/>
        <v>FALSE</v>
      </c>
    </row>
    <row r="20" spans="1:11">
      <c r="A20">
        <f t="shared" si="9"/>
        <v>19</v>
      </c>
      <c r="B20">
        <f t="shared" ca="1" si="0"/>
        <v>32.5</v>
      </c>
      <c r="C20" t="str">
        <f t="shared" ca="1" si="1"/>
        <v>F</v>
      </c>
      <c r="D20">
        <f t="shared" ca="1" si="2"/>
        <v>75</v>
      </c>
      <c r="E20">
        <f t="shared" ca="1" si="10"/>
        <v>86</v>
      </c>
      <c r="F20" t="str">
        <f t="shared" ca="1" si="3"/>
        <v>FALSE</v>
      </c>
      <c r="G20">
        <f t="shared" ca="1" si="4"/>
        <v>20.65</v>
      </c>
      <c r="H20" t="str">
        <f t="shared" ca="1" si="5"/>
        <v>FALSE</v>
      </c>
      <c r="I20" t="str">
        <f t="shared" ca="1" si="6"/>
        <v>TRUE</v>
      </c>
      <c r="J20">
        <f t="shared" ca="1" si="7"/>
        <v>103</v>
      </c>
      <c r="K20" t="str">
        <f t="shared" ca="1" si="8"/>
        <v>FALSE</v>
      </c>
    </row>
    <row r="21" spans="1:11">
      <c r="A21">
        <f t="shared" si="9"/>
        <v>20</v>
      </c>
      <c r="B21">
        <f t="shared" ca="1" si="0"/>
        <v>35</v>
      </c>
      <c r="C21" t="str">
        <f t="shared" ca="1" si="1"/>
        <v>M</v>
      </c>
      <c r="D21">
        <f t="shared" ca="1" si="2"/>
        <v>60</v>
      </c>
      <c r="E21">
        <f t="shared" ca="1" si="10"/>
        <v>85</v>
      </c>
      <c r="F21" t="str">
        <f t="shared" ca="1" si="3"/>
        <v>FALSE</v>
      </c>
      <c r="G21">
        <f t="shared" ca="1" si="4"/>
        <v>25.55</v>
      </c>
      <c r="H21" t="str">
        <f t="shared" ca="1" si="5"/>
        <v>FALSE</v>
      </c>
      <c r="I21" t="str">
        <f t="shared" ca="1" si="6"/>
        <v>TRUE</v>
      </c>
      <c r="J21">
        <f t="shared" ca="1" si="7"/>
        <v>101</v>
      </c>
      <c r="K21" t="str">
        <f t="shared" ca="1" si="8"/>
        <v>TRUE</v>
      </c>
    </row>
    <row r="22" spans="1:11">
      <c r="A22">
        <f t="shared" si="9"/>
        <v>21</v>
      </c>
      <c r="B22">
        <f t="shared" ca="1" si="0"/>
        <v>37.5</v>
      </c>
      <c r="C22" t="str">
        <f t="shared" ca="1" si="1"/>
        <v>M</v>
      </c>
      <c r="D22">
        <f t="shared" ca="1" si="2"/>
        <v>105</v>
      </c>
      <c r="E22">
        <f t="shared" ca="1" si="10"/>
        <v>108</v>
      </c>
      <c r="F22" t="str">
        <f t="shared" ca="1" si="3"/>
        <v>FALSE</v>
      </c>
      <c r="G22">
        <f t="shared" ca="1" si="4"/>
        <v>30.2</v>
      </c>
      <c r="H22" t="str">
        <f t="shared" ca="1" si="5"/>
        <v>TRUE</v>
      </c>
      <c r="I22" t="str">
        <f t="shared" ca="1" si="6"/>
        <v>TRUE</v>
      </c>
      <c r="J22">
        <f t="shared" ca="1" si="7"/>
        <v>134</v>
      </c>
      <c r="K22" t="str">
        <f t="shared" ca="1" si="8"/>
        <v>TRUE</v>
      </c>
    </row>
    <row r="23" spans="1:11">
      <c r="A23">
        <f t="shared" si="9"/>
        <v>22</v>
      </c>
      <c r="B23">
        <f t="shared" ca="1" si="0"/>
        <v>42</v>
      </c>
      <c r="C23" t="str">
        <f t="shared" ca="1" si="1"/>
        <v>F</v>
      </c>
      <c r="D23">
        <f t="shared" ca="1" si="2"/>
        <v>85</v>
      </c>
      <c r="E23">
        <f t="shared" ca="1" si="10"/>
        <v>95</v>
      </c>
      <c r="F23" t="str">
        <f t="shared" ca="1" si="3"/>
        <v>FALSE</v>
      </c>
      <c r="G23">
        <f t="shared" ca="1" si="4"/>
        <v>29.3</v>
      </c>
      <c r="H23" t="str">
        <f t="shared" ca="1" si="5"/>
        <v>TRUE</v>
      </c>
      <c r="I23" t="str">
        <f t="shared" ca="1" si="6"/>
        <v>FALSE</v>
      </c>
      <c r="J23">
        <f t="shared" ca="1" si="7"/>
        <v>136</v>
      </c>
      <c r="K23" t="str">
        <f t="shared" ca="1" si="8"/>
        <v>TRUE</v>
      </c>
    </row>
    <row r="24" spans="1:11">
      <c r="A24">
        <f t="shared" si="9"/>
        <v>23</v>
      </c>
      <c r="B24">
        <f t="shared" ca="1" si="0"/>
        <v>43.5</v>
      </c>
      <c r="C24" t="str">
        <f t="shared" ca="1" si="1"/>
        <v>M</v>
      </c>
      <c r="D24">
        <f t="shared" ca="1" si="2"/>
        <v>125</v>
      </c>
      <c r="E24">
        <f t="shared" ca="1" si="10"/>
        <v>113</v>
      </c>
      <c r="F24" t="str">
        <f t="shared" ca="1" si="3"/>
        <v>TRUE</v>
      </c>
      <c r="G24">
        <f t="shared" ca="1" si="4"/>
        <v>28.55</v>
      </c>
      <c r="H24" t="str">
        <f t="shared" ca="1" si="5"/>
        <v>TRUE</v>
      </c>
      <c r="I24" t="str">
        <f t="shared" ca="1" si="6"/>
        <v>TRUE</v>
      </c>
      <c r="J24">
        <f t="shared" ca="1" si="7"/>
        <v>141</v>
      </c>
      <c r="K24" t="str">
        <f t="shared" ca="1" si="8"/>
        <v>FALSE</v>
      </c>
    </row>
    <row r="25" spans="1:11">
      <c r="A25">
        <f t="shared" si="9"/>
        <v>24</v>
      </c>
      <c r="B25">
        <f t="shared" ca="1" si="0"/>
        <v>43</v>
      </c>
      <c r="C25" t="str">
        <f t="shared" ca="1" si="1"/>
        <v>M</v>
      </c>
      <c r="D25">
        <f t="shared" ca="1" si="2"/>
        <v>80</v>
      </c>
      <c r="E25">
        <f t="shared" ca="1" si="10"/>
        <v>112</v>
      </c>
      <c r="F25" t="str">
        <f t="shared" ca="1" si="3"/>
        <v>FALSE</v>
      </c>
      <c r="G25">
        <f t="shared" ca="1" si="4"/>
        <v>23.35</v>
      </c>
      <c r="H25" t="str">
        <f t="shared" ca="1" si="5"/>
        <v>FALSE</v>
      </c>
      <c r="I25" t="str">
        <f t="shared" ca="1" si="6"/>
        <v>TRUE</v>
      </c>
      <c r="J25">
        <f t="shared" ca="1" si="7"/>
        <v>117</v>
      </c>
      <c r="K25" t="str">
        <f t="shared" ca="1" si="8"/>
        <v>TRUE</v>
      </c>
    </row>
    <row r="26" spans="1:11">
      <c r="A26">
        <f t="shared" si="9"/>
        <v>25</v>
      </c>
      <c r="B26">
        <f t="shared" ca="1" si="0"/>
        <v>37.5</v>
      </c>
      <c r="C26" t="str">
        <f t="shared" ca="1" si="1"/>
        <v>M</v>
      </c>
      <c r="D26">
        <f t="shared" ca="1" si="2"/>
        <v>112</v>
      </c>
      <c r="E26">
        <f t="shared" ca="1" si="10"/>
        <v>116</v>
      </c>
      <c r="F26" t="str">
        <f t="shared" ca="1" si="3"/>
        <v>FALSE</v>
      </c>
      <c r="G26">
        <f t="shared" ca="1" si="4"/>
        <v>21.7</v>
      </c>
      <c r="H26" t="str">
        <f t="shared" ca="1" si="5"/>
        <v>TRUE</v>
      </c>
      <c r="I26" t="str">
        <f t="shared" ca="1" si="6"/>
        <v>FALSE</v>
      </c>
      <c r="J26">
        <f t="shared" ca="1" si="7"/>
        <v>124</v>
      </c>
      <c r="K26" t="str">
        <f t="shared" ca="1" si="8"/>
        <v>FALSE</v>
      </c>
    </row>
    <row r="27" spans="1:11">
      <c r="A27">
        <f t="shared" si="9"/>
        <v>26</v>
      </c>
      <c r="B27">
        <f t="shared" ca="1" si="0"/>
        <v>37</v>
      </c>
      <c r="C27" t="str">
        <f t="shared" ca="1" si="1"/>
        <v>M</v>
      </c>
      <c r="D27">
        <f t="shared" ca="1" si="2"/>
        <v>98</v>
      </c>
      <c r="E27">
        <f t="shared" ca="1" si="10"/>
        <v>97</v>
      </c>
      <c r="F27" t="str">
        <f t="shared" ca="1" si="3"/>
        <v>FALSE</v>
      </c>
      <c r="G27">
        <f t="shared" ca="1" si="4"/>
        <v>19.55</v>
      </c>
      <c r="H27" t="str">
        <f t="shared" ca="1" si="5"/>
        <v>TRUE</v>
      </c>
      <c r="I27" t="str">
        <f t="shared" ca="1" si="6"/>
        <v>FALSE</v>
      </c>
      <c r="J27">
        <f t="shared" ca="1" si="7"/>
        <v>101</v>
      </c>
      <c r="K27" t="str">
        <f t="shared" ca="1" si="8"/>
        <v>TRUE</v>
      </c>
    </row>
    <row r="28" spans="1:11">
      <c r="A28">
        <f t="shared" si="9"/>
        <v>27</v>
      </c>
      <c r="B28">
        <f t="shared" ca="1" si="0"/>
        <v>39.5</v>
      </c>
      <c r="C28" t="str">
        <f t="shared" ca="1" si="1"/>
        <v>M</v>
      </c>
      <c r="D28">
        <f t="shared" ca="1" si="2"/>
        <v>88</v>
      </c>
      <c r="E28">
        <f t="shared" ca="1" si="10"/>
        <v>106</v>
      </c>
      <c r="F28" t="str">
        <f t="shared" ca="1" si="3"/>
        <v>FALSE</v>
      </c>
      <c r="G28">
        <f t="shared" ca="1" si="4"/>
        <v>26.35</v>
      </c>
      <c r="H28" t="str">
        <f t="shared" ca="1" si="5"/>
        <v>FALSE</v>
      </c>
      <c r="I28" t="str">
        <f t="shared" ca="1" si="6"/>
        <v>FALSE</v>
      </c>
      <c r="J28">
        <f t="shared" ca="1" si="7"/>
        <v>117</v>
      </c>
      <c r="K28" t="str">
        <f t="shared" ca="1" si="8"/>
        <v>FALSE</v>
      </c>
    </row>
    <row r="29" spans="1:11">
      <c r="A29">
        <f t="shared" si="9"/>
        <v>28</v>
      </c>
      <c r="B29">
        <f t="shared" ca="1" si="0"/>
        <v>43</v>
      </c>
      <c r="C29" t="str">
        <f t="shared" ca="1" si="1"/>
        <v>F</v>
      </c>
      <c r="D29">
        <f t="shared" ca="1" si="2"/>
        <v>131</v>
      </c>
      <c r="E29">
        <f t="shared" ca="1" si="10"/>
        <v>114</v>
      </c>
      <c r="F29" t="str">
        <f t="shared" ca="1" si="3"/>
        <v>TRUE</v>
      </c>
      <c r="G29">
        <f t="shared" ca="1" si="4"/>
        <v>27.15</v>
      </c>
      <c r="H29" t="str">
        <f t="shared" ca="1" si="5"/>
        <v>TRUE</v>
      </c>
      <c r="I29" t="str">
        <f t="shared" ca="1" si="6"/>
        <v>FALSE</v>
      </c>
      <c r="J29">
        <f t="shared" ca="1" si="7"/>
        <v>113</v>
      </c>
      <c r="K29" t="str">
        <f t="shared" ca="1" si="8"/>
        <v>TRUE</v>
      </c>
    </row>
    <row r="30" spans="1:11">
      <c r="A30">
        <f t="shared" si="9"/>
        <v>29</v>
      </c>
      <c r="B30">
        <f t="shared" ca="1" si="0"/>
        <v>43.5</v>
      </c>
      <c r="C30" t="str">
        <f t="shared" ca="1" si="1"/>
        <v>M</v>
      </c>
      <c r="D30">
        <f t="shared" ca="1" si="2"/>
        <v>75</v>
      </c>
      <c r="E30">
        <f t="shared" ca="1" si="10"/>
        <v>125</v>
      </c>
      <c r="F30" t="str">
        <f t="shared" ca="1" si="3"/>
        <v>FALSE</v>
      </c>
      <c r="G30">
        <f t="shared" ca="1" si="4"/>
        <v>19.2</v>
      </c>
      <c r="H30" t="str">
        <f t="shared" ca="1" si="5"/>
        <v>TRUE</v>
      </c>
      <c r="I30" t="str">
        <f t="shared" ca="1" si="6"/>
        <v>TRUE</v>
      </c>
      <c r="J30">
        <f t="shared" ca="1" si="7"/>
        <v>114</v>
      </c>
      <c r="K30" t="str">
        <f t="shared" ca="1" si="8"/>
        <v>FALSE</v>
      </c>
    </row>
    <row r="31" spans="1:11">
      <c r="A31">
        <f t="shared" si="9"/>
        <v>30</v>
      </c>
      <c r="B31">
        <f t="shared" ca="1" si="0"/>
        <v>36</v>
      </c>
      <c r="C31" t="str">
        <f t="shared" ca="1" si="1"/>
        <v>F</v>
      </c>
      <c r="D31">
        <f t="shared" ca="1" si="2"/>
        <v>101</v>
      </c>
      <c r="E31">
        <f t="shared" ca="1" si="10"/>
        <v>89</v>
      </c>
      <c r="F31" t="str">
        <f t="shared" ca="1" si="3"/>
        <v>FALSE</v>
      </c>
      <c r="G31">
        <f t="shared" ca="1" si="4"/>
        <v>28.15</v>
      </c>
      <c r="H31" t="str">
        <f t="shared" ca="1" si="5"/>
        <v>TRUE</v>
      </c>
      <c r="I31" t="str">
        <f t="shared" ca="1" si="6"/>
        <v>FALSE</v>
      </c>
      <c r="J31">
        <f t="shared" ca="1" si="7"/>
        <v>133</v>
      </c>
      <c r="K31" t="str">
        <f t="shared" ca="1" si="8"/>
        <v>TRUE</v>
      </c>
    </row>
    <row r="32" spans="1:11">
      <c r="A32">
        <f t="shared" si="9"/>
        <v>31</v>
      </c>
      <c r="B32">
        <f t="shared" ca="1" si="0"/>
        <v>38.5</v>
      </c>
      <c r="C32" t="str">
        <f t="shared" ca="1" si="1"/>
        <v>F</v>
      </c>
      <c r="D32">
        <f t="shared" ca="1" si="2"/>
        <v>93</v>
      </c>
      <c r="E32">
        <f t="shared" ca="1" si="10"/>
        <v>100</v>
      </c>
      <c r="F32" t="str">
        <f t="shared" ca="1" si="3"/>
        <v>FALSE</v>
      </c>
      <c r="G32">
        <f t="shared" ca="1" si="4"/>
        <v>20.6</v>
      </c>
      <c r="H32" t="str">
        <f t="shared" ca="1" si="5"/>
        <v>FALSE</v>
      </c>
      <c r="I32" t="str">
        <f t="shared" ca="1" si="6"/>
        <v>FALSE</v>
      </c>
      <c r="J32">
        <f t="shared" ca="1" si="7"/>
        <v>122</v>
      </c>
      <c r="K32" t="str">
        <f t="shared" ca="1" si="8"/>
        <v>TRUE</v>
      </c>
    </row>
    <row r="33" spans="1:11">
      <c r="A33">
        <f t="shared" si="9"/>
        <v>32</v>
      </c>
      <c r="B33">
        <f t="shared" ca="1" si="0"/>
        <v>40</v>
      </c>
      <c r="C33" t="str">
        <f t="shared" ca="1" si="1"/>
        <v>M</v>
      </c>
      <c r="D33">
        <f t="shared" ca="1" si="2"/>
        <v>92</v>
      </c>
      <c r="E33">
        <f t="shared" ca="1" si="10"/>
        <v>118</v>
      </c>
      <c r="F33" t="str">
        <f t="shared" ca="1" si="3"/>
        <v>FALSE</v>
      </c>
      <c r="G33">
        <f t="shared" ca="1" si="4"/>
        <v>23.5</v>
      </c>
      <c r="H33" t="str">
        <f t="shared" ca="1" si="5"/>
        <v>TRUE</v>
      </c>
      <c r="I33" t="str">
        <f t="shared" ca="1" si="6"/>
        <v>FALSE</v>
      </c>
      <c r="J33">
        <f t="shared" ca="1" si="7"/>
        <v>140</v>
      </c>
      <c r="K33" t="str">
        <f t="shared" ca="1" si="8"/>
        <v>FALSE</v>
      </c>
    </row>
    <row r="34" spans="1:11">
      <c r="A34">
        <f t="shared" si="9"/>
        <v>33</v>
      </c>
      <c r="B34">
        <f t="shared" ca="1" si="0"/>
        <v>41.5</v>
      </c>
      <c r="C34" t="str">
        <f t="shared" ca="1" si="1"/>
        <v>M</v>
      </c>
      <c r="D34">
        <f t="shared" ca="1" si="2"/>
        <v>115</v>
      </c>
      <c r="E34">
        <f t="shared" ca="1" si="10"/>
        <v>100</v>
      </c>
      <c r="F34" t="str">
        <f t="shared" ca="1" si="3"/>
        <v>TRUE</v>
      </c>
      <c r="G34">
        <f t="shared" ca="1" si="4"/>
        <v>26.45</v>
      </c>
      <c r="H34" t="str">
        <f t="shared" ca="1" si="5"/>
        <v>FALSE</v>
      </c>
      <c r="I34" t="str">
        <f t="shared" ca="1" si="6"/>
        <v>FALSE</v>
      </c>
      <c r="J34">
        <f t="shared" ca="1" si="7"/>
        <v>119</v>
      </c>
      <c r="K34" t="str">
        <f t="shared" ca="1" si="8"/>
        <v>TRUE</v>
      </c>
    </row>
    <row r="35" spans="1:11">
      <c r="A35">
        <f t="shared" si="9"/>
        <v>34</v>
      </c>
      <c r="B35">
        <f t="shared" ca="1" si="0"/>
        <v>42</v>
      </c>
      <c r="C35" t="str">
        <f t="shared" ca="1" si="1"/>
        <v>M</v>
      </c>
      <c r="D35">
        <f t="shared" ca="1" si="2"/>
        <v>125</v>
      </c>
      <c r="E35">
        <f t="shared" ca="1" si="10"/>
        <v>91</v>
      </c>
      <c r="F35" t="str">
        <f t="shared" ca="1" si="3"/>
        <v>TRUE</v>
      </c>
      <c r="G35">
        <f t="shared" ca="1" si="4"/>
        <v>21.2</v>
      </c>
      <c r="H35" t="str">
        <f t="shared" ca="1" si="5"/>
        <v>TRUE</v>
      </c>
      <c r="I35" t="str">
        <f t="shared" ca="1" si="6"/>
        <v>FALSE</v>
      </c>
      <c r="J35">
        <f t="shared" ca="1" si="7"/>
        <v>134</v>
      </c>
      <c r="K35" t="str">
        <f t="shared" ca="1" si="8"/>
        <v>FALSE</v>
      </c>
    </row>
    <row r="36" spans="1:11">
      <c r="A36">
        <f t="shared" si="9"/>
        <v>35</v>
      </c>
      <c r="B36">
        <f t="shared" ca="1" si="0"/>
        <v>40.5</v>
      </c>
      <c r="C36" t="str">
        <f t="shared" ca="1" si="1"/>
        <v>M</v>
      </c>
      <c r="D36">
        <f t="shared" ca="1" si="2"/>
        <v>76</v>
      </c>
      <c r="E36">
        <f t="shared" ca="1" si="10"/>
        <v>120</v>
      </c>
      <c r="F36" t="str">
        <f t="shared" ca="1" si="3"/>
        <v>FALSE</v>
      </c>
      <c r="G36">
        <f t="shared" ca="1" si="4"/>
        <v>24.5</v>
      </c>
      <c r="H36" t="str">
        <f t="shared" ca="1" si="5"/>
        <v>TRUE</v>
      </c>
      <c r="I36" t="str">
        <f t="shared" ca="1" si="6"/>
        <v>TRUE</v>
      </c>
      <c r="J36">
        <f t="shared" ca="1" si="7"/>
        <v>120</v>
      </c>
      <c r="K36" t="str">
        <f t="shared" ca="1" si="8"/>
        <v>FALSE</v>
      </c>
    </row>
    <row r="37" spans="1:11">
      <c r="A37">
        <f t="shared" si="9"/>
        <v>36</v>
      </c>
      <c r="B37">
        <f t="shared" ca="1" si="0"/>
        <v>40</v>
      </c>
      <c r="C37" t="str">
        <f t="shared" ca="1" si="1"/>
        <v>F</v>
      </c>
      <c r="D37">
        <f t="shared" ca="1" si="2"/>
        <v>71</v>
      </c>
      <c r="E37">
        <f t="shared" ca="1" si="10"/>
        <v>112</v>
      </c>
      <c r="F37" t="str">
        <f t="shared" ca="1" si="3"/>
        <v>FALSE</v>
      </c>
      <c r="G37">
        <f t="shared" ca="1" si="4"/>
        <v>24.65</v>
      </c>
      <c r="H37" t="str">
        <f t="shared" ca="1" si="5"/>
        <v>TRUE</v>
      </c>
      <c r="I37" t="str">
        <f t="shared" ca="1" si="6"/>
        <v>TRUE</v>
      </c>
      <c r="J37">
        <f t="shared" ca="1" si="7"/>
        <v>123</v>
      </c>
      <c r="K37" t="str">
        <f t="shared" ca="1" si="8"/>
        <v>FALSE</v>
      </c>
    </row>
    <row r="38" spans="1:11">
      <c r="A38">
        <f t="shared" si="9"/>
        <v>37</v>
      </c>
      <c r="B38">
        <f t="shared" ca="1" si="0"/>
        <v>46.5</v>
      </c>
      <c r="C38" t="str">
        <f t="shared" ca="1" si="1"/>
        <v>F</v>
      </c>
      <c r="D38">
        <f t="shared" ca="1" si="2"/>
        <v>95</v>
      </c>
      <c r="E38">
        <f t="shared" ca="1" si="10"/>
        <v>121</v>
      </c>
      <c r="F38" t="str">
        <f t="shared" ca="1" si="3"/>
        <v>FALSE</v>
      </c>
      <c r="G38">
        <f t="shared" ca="1" si="4"/>
        <v>28.85</v>
      </c>
      <c r="H38" t="str">
        <f t="shared" ca="1" si="5"/>
        <v>FALSE</v>
      </c>
      <c r="I38" t="str">
        <f t="shared" ca="1" si="6"/>
        <v>FALSE</v>
      </c>
      <c r="J38">
        <f t="shared" ca="1" si="7"/>
        <v>107</v>
      </c>
      <c r="K38" t="str">
        <f t="shared" ca="1" si="8"/>
        <v>FALSE</v>
      </c>
    </row>
    <row r="39" spans="1:11">
      <c r="A39">
        <f t="shared" si="9"/>
        <v>38</v>
      </c>
      <c r="B39">
        <f t="shared" ca="1" si="0"/>
        <v>51</v>
      </c>
      <c r="C39" t="str">
        <f t="shared" ca="1" si="1"/>
        <v>F</v>
      </c>
      <c r="D39">
        <f t="shared" ca="1" si="2"/>
        <v>78</v>
      </c>
      <c r="E39">
        <f t="shared" ca="1" si="10"/>
        <v>94</v>
      </c>
      <c r="F39" t="str">
        <f t="shared" ca="1" si="3"/>
        <v>FALSE</v>
      </c>
      <c r="G39">
        <f t="shared" ca="1" si="4"/>
        <v>29.3</v>
      </c>
      <c r="H39" t="str">
        <f t="shared" ca="1" si="5"/>
        <v>FALSE</v>
      </c>
      <c r="I39" t="str">
        <f t="shared" ca="1" si="6"/>
        <v>TRUE</v>
      </c>
      <c r="J39">
        <f t="shared" ca="1" si="7"/>
        <v>136</v>
      </c>
      <c r="K39" t="str">
        <f t="shared" ca="1" si="8"/>
        <v>FALSE</v>
      </c>
    </row>
    <row r="40" spans="1:11">
      <c r="A40">
        <f t="shared" si="9"/>
        <v>39</v>
      </c>
      <c r="B40">
        <f t="shared" ca="1" si="0"/>
        <v>47.5</v>
      </c>
      <c r="C40" t="str">
        <f t="shared" ca="1" si="1"/>
        <v>M</v>
      </c>
      <c r="D40">
        <f t="shared" ca="1" si="2"/>
        <v>108</v>
      </c>
      <c r="E40">
        <f t="shared" ca="1" si="10"/>
        <v>125</v>
      </c>
      <c r="F40" t="str">
        <f t="shared" ca="1" si="3"/>
        <v>FALSE</v>
      </c>
      <c r="G40">
        <f t="shared" ca="1" si="4"/>
        <v>23.55</v>
      </c>
      <c r="H40" t="str">
        <f t="shared" ca="1" si="5"/>
        <v>TRUE</v>
      </c>
      <c r="I40" t="str">
        <f t="shared" ca="1" si="6"/>
        <v>FALSE</v>
      </c>
      <c r="J40">
        <f t="shared" ca="1" si="7"/>
        <v>121</v>
      </c>
      <c r="K40" t="str">
        <f t="shared" ca="1" si="8"/>
        <v>FALSE</v>
      </c>
    </row>
    <row r="41" spans="1:11">
      <c r="A41">
        <f t="shared" si="9"/>
        <v>40</v>
      </c>
      <c r="B41">
        <f t="shared" ca="1" si="0"/>
        <v>43</v>
      </c>
      <c r="C41" t="str">
        <f t="shared" ca="1" si="1"/>
        <v>F</v>
      </c>
      <c r="D41">
        <f t="shared" ca="1" si="2"/>
        <v>127</v>
      </c>
      <c r="E41">
        <f t="shared" ca="1" si="10"/>
        <v>112</v>
      </c>
      <c r="F41" t="str">
        <f t="shared" ca="1" si="3"/>
        <v>TRUE</v>
      </c>
      <c r="G41">
        <f t="shared" ca="1" si="4"/>
        <v>21.9</v>
      </c>
      <c r="H41" t="str">
        <f t="shared" ca="1" si="5"/>
        <v>TRUE</v>
      </c>
      <c r="I41" t="str">
        <f t="shared" ca="1" si="6"/>
        <v>FALSE</v>
      </c>
      <c r="J41">
        <f t="shared" ca="1" si="7"/>
        <v>128</v>
      </c>
      <c r="K41" t="str">
        <f t="shared" ca="1" si="8"/>
        <v>FALSE</v>
      </c>
    </row>
    <row r="42" spans="1:11">
      <c r="A42">
        <f>A41+1</f>
        <v>41</v>
      </c>
      <c r="B42">
        <f t="shared" ca="1" si="0"/>
        <v>45.5</v>
      </c>
      <c r="C42" t="str">
        <f t="shared" ca="1" si="1"/>
        <v>F</v>
      </c>
      <c r="D42">
        <f t="shared" ca="1" si="2"/>
        <v>122</v>
      </c>
      <c r="E42">
        <f t="shared" ca="1" si="10"/>
        <v>100</v>
      </c>
      <c r="F42" t="str">
        <f t="shared" ca="1" si="3"/>
        <v>TRUE</v>
      </c>
      <c r="G42">
        <f t="shared" ca="1" si="4"/>
        <v>30.3</v>
      </c>
      <c r="H42" t="str">
        <f t="shared" ca="1" si="5"/>
        <v>TRUE</v>
      </c>
      <c r="I42" t="str">
        <f t="shared" ca="1" si="6"/>
        <v>FALSE</v>
      </c>
      <c r="J42">
        <f t="shared" ca="1" si="7"/>
        <v>136</v>
      </c>
      <c r="K42" t="str">
        <f t="shared" ca="1" si="8"/>
        <v>TRUE</v>
      </c>
    </row>
    <row r="43" spans="1:11">
      <c r="A43">
        <f t="shared" si="9"/>
        <v>42</v>
      </c>
      <c r="B43">
        <f t="shared" ca="1" si="0"/>
        <v>46</v>
      </c>
      <c r="C43" t="str">
        <f t="shared" ca="1" si="1"/>
        <v>F</v>
      </c>
      <c r="D43">
        <f t="shared" ca="1" si="2"/>
        <v>149</v>
      </c>
      <c r="E43">
        <f t="shared" ca="1" si="10"/>
        <v>102</v>
      </c>
      <c r="F43" t="str">
        <f t="shared" ca="1" si="3"/>
        <v>FALSE</v>
      </c>
      <c r="G43">
        <f t="shared" ca="1" si="4"/>
        <v>26.4</v>
      </c>
      <c r="H43" t="str">
        <f t="shared" ca="1" si="5"/>
        <v>TRUE</v>
      </c>
      <c r="I43" t="str">
        <f t="shared" ca="1" si="6"/>
        <v>TRUE</v>
      </c>
      <c r="J43">
        <f t="shared" ca="1" si="7"/>
        <v>138</v>
      </c>
      <c r="K43" t="str">
        <f t="shared" ca="1" si="8"/>
        <v>TRUE</v>
      </c>
    </row>
    <row r="44" spans="1:11">
      <c r="A44">
        <f t="shared" si="9"/>
        <v>43</v>
      </c>
      <c r="B44">
        <f t="shared" ca="1" si="0"/>
        <v>45.5</v>
      </c>
      <c r="C44" t="str">
        <f t="shared" ca="1" si="1"/>
        <v>M</v>
      </c>
      <c r="D44">
        <f t="shared" ca="1" si="2"/>
        <v>87</v>
      </c>
      <c r="E44">
        <f t="shared" ca="1" si="10"/>
        <v>108</v>
      </c>
      <c r="F44" t="str">
        <f t="shared" ca="1" si="3"/>
        <v>FALSE</v>
      </c>
      <c r="G44">
        <f t="shared" ca="1" si="4"/>
        <v>25.75</v>
      </c>
      <c r="H44" t="str">
        <f t="shared" ca="1" si="5"/>
        <v>TRUE</v>
      </c>
      <c r="I44" t="str">
        <f t="shared" ca="1" si="6"/>
        <v>TRUE</v>
      </c>
      <c r="J44">
        <f t="shared" ca="1" si="7"/>
        <v>125</v>
      </c>
      <c r="K44" t="str">
        <f t="shared" ca="1" si="8"/>
        <v>TRUE</v>
      </c>
    </row>
    <row r="45" spans="1:11">
      <c r="A45">
        <f t="shared" si="9"/>
        <v>44</v>
      </c>
      <c r="B45">
        <f t="shared" ca="1" si="0"/>
        <v>46</v>
      </c>
      <c r="C45" t="str">
        <f t="shared" ca="1" si="1"/>
        <v>M</v>
      </c>
      <c r="D45">
        <f t="shared" ca="1" si="2"/>
        <v>93</v>
      </c>
      <c r="E45">
        <f t="shared" ca="1" si="10"/>
        <v>123</v>
      </c>
      <c r="F45" t="str">
        <f t="shared" ca="1" si="3"/>
        <v>FALSE</v>
      </c>
      <c r="G45">
        <f t="shared" ca="1" si="4"/>
        <v>27.15</v>
      </c>
      <c r="H45" t="str">
        <f t="shared" ca="1" si="5"/>
        <v>TRUE</v>
      </c>
      <c r="I45" t="str">
        <f t="shared" ca="1" si="6"/>
        <v>FALSE</v>
      </c>
      <c r="J45">
        <f t="shared" ca="1" si="7"/>
        <v>113</v>
      </c>
      <c r="K45" t="str">
        <f t="shared" ca="1" si="8"/>
        <v>FALSE</v>
      </c>
    </row>
    <row r="46" spans="1:11">
      <c r="A46">
        <f t="shared" si="9"/>
        <v>45</v>
      </c>
      <c r="B46">
        <f t="shared" ca="1" si="0"/>
        <v>51.5</v>
      </c>
      <c r="C46" t="str">
        <f t="shared" ca="1" si="1"/>
        <v>M</v>
      </c>
      <c r="D46">
        <f t="shared" ca="1" si="2"/>
        <v>111</v>
      </c>
      <c r="E46">
        <f t="shared" ca="1" si="10"/>
        <v>100</v>
      </c>
      <c r="F46" t="str">
        <f t="shared" ca="1" si="3"/>
        <v>TRUE</v>
      </c>
      <c r="G46">
        <f t="shared" ca="1" si="4"/>
        <v>30.7</v>
      </c>
      <c r="H46" t="str">
        <f t="shared" ca="1" si="5"/>
        <v>TRUE</v>
      </c>
      <c r="I46" t="str">
        <f t="shared" ca="1" si="6"/>
        <v>TRUE</v>
      </c>
      <c r="J46">
        <f t="shared" ca="1" si="7"/>
        <v>144</v>
      </c>
      <c r="K46" t="str">
        <f t="shared" ca="1" si="8"/>
        <v>TRUE</v>
      </c>
    </row>
    <row r="47" spans="1:11">
      <c r="A47">
        <f t="shared" si="9"/>
        <v>46</v>
      </c>
      <c r="B47">
        <f t="shared" ca="1" si="0"/>
        <v>51</v>
      </c>
      <c r="C47" t="str">
        <f t="shared" ca="1" si="1"/>
        <v>M</v>
      </c>
      <c r="D47">
        <f t="shared" ca="1" si="2"/>
        <v>94</v>
      </c>
      <c r="E47">
        <f t="shared" ca="1" si="10"/>
        <v>97</v>
      </c>
      <c r="F47" t="str">
        <f t="shared" ca="1" si="3"/>
        <v>FALSE</v>
      </c>
      <c r="G47">
        <f t="shared" ca="1" si="4"/>
        <v>25.7</v>
      </c>
      <c r="H47" t="str">
        <f t="shared" ca="1" si="5"/>
        <v>TRUE</v>
      </c>
      <c r="I47" t="str">
        <f t="shared" ca="1" si="6"/>
        <v>TRUE</v>
      </c>
      <c r="J47">
        <f t="shared" ca="1" si="7"/>
        <v>144</v>
      </c>
      <c r="K47" t="str">
        <f t="shared" ca="1" si="8"/>
        <v>FALSE</v>
      </c>
    </row>
    <row r="48" spans="1:11">
      <c r="A48">
        <f t="shared" si="9"/>
        <v>47</v>
      </c>
      <c r="B48">
        <f t="shared" ca="1" si="0"/>
        <v>49.5</v>
      </c>
      <c r="C48" t="str">
        <f t="shared" ca="1" si="1"/>
        <v>M</v>
      </c>
      <c r="D48">
        <f t="shared" ca="1" si="2"/>
        <v>119</v>
      </c>
      <c r="E48">
        <f t="shared" ca="1" si="10"/>
        <v>91</v>
      </c>
      <c r="F48" t="str">
        <f t="shared" ca="1" si="3"/>
        <v>FALSE</v>
      </c>
      <c r="G48">
        <f t="shared" ca="1" si="4"/>
        <v>29.65</v>
      </c>
      <c r="H48" t="str">
        <f t="shared" ca="1" si="5"/>
        <v>TRUE</v>
      </c>
      <c r="I48" t="str">
        <f t="shared" ca="1" si="6"/>
        <v>TRUE</v>
      </c>
      <c r="J48">
        <f t="shared" ca="1" si="7"/>
        <v>123</v>
      </c>
      <c r="K48" t="str">
        <f t="shared" ca="1" si="8"/>
        <v>FALSE</v>
      </c>
    </row>
    <row r="49" spans="1:11">
      <c r="A49">
        <f t="shared" si="9"/>
        <v>48</v>
      </c>
      <c r="B49">
        <f t="shared" ca="1" si="0"/>
        <v>49</v>
      </c>
      <c r="C49" t="str">
        <f t="shared" ca="1" si="1"/>
        <v>F</v>
      </c>
      <c r="D49">
        <f t="shared" ca="1" si="2"/>
        <v>153</v>
      </c>
      <c r="E49">
        <f t="shared" ca="1" si="10"/>
        <v>93</v>
      </c>
      <c r="F49" t="str">
        <f t="shared" ca="1" si="3"/>
        <v>TRUE</v>
      </c>
      <c r="G49">
        <f t="shared" ca="1" si="4"/>
        <v>28.25</v>
      </c>
      <c r="H49" t="str">
        <f t="shared" ca="1" si="5"/>
        <v>TRUE</v>
      </c>
      <c r="I49" t="str">
        <f t="shared" ca="1" si="6"/>
        <v>FALSE</v>
      </c>
      <c r="J49">
        <f t="shared" ca="1" si="7"/>
        <v>115</v>
      </c>
      <c r="K49" t="str">
        <f t="shared" ca="1" si="8"/>
        <v>FALSE</v>
      </c>
    </row>
    <row r="50" spans="1:11">
      <c r="A50">
        <f t="shared" si="9"/>
        <v>49</v>
      </c>
      <c r="B50">
        <f t="shared" ca="1" si="0"/>
        <v>57.5</v>
      </c>
      <c r="C50" t="str">
        <f t="shared" ca="1" si="1"/>
        <v>M</v>
      </c>
      <c r="D50">
        <f t="shared" ca="1" si="2"/>
        <v>110</v>
      </c>
      <c r="E50">
        <f t="shared" ca="1" si="10"/>
        <v>99</v>
      </c>
      <c r="F50" t="str">
        <f t="shared" ca="1" si="3"/>
        <v>FALSE</v>
      </c>
      <c r="G50">
        <f t="shared" ca="1" si="4"/>
        <v>20.8</v>
      </c>
      <c r="H50" t="str">
        <f t="shared" ca="1" si="5"/>
        <v>TRUE</v>
      </c>
      <c r="I50" t="str">
        <f t="shared" ca="1" si="6"/>
        <v>FALSE</v>
      </c>
      <c r="J50">
        <f t="shared" ca="1" si="7"/>
        <v>126</v>
      </c>
      <c r="K50" t="str">
        <f t="shared" ca="1" si="8"/>
        <v>TRUE</v>
      </c>
    </row>
    <row r="51" spans="1:11">
      <c r="A51">
        <f t="shared" si="9"/>
        <v>50</v>
      </c>
      <c r="B51">
        <f t="shared" ca="1" si="0"/>
        <v>48</v>
      </c>
      <c r="C51" t="str">
        <f t="shared" ca="1" si="1"/>
        <v>F</v>
      </c>
      <c r="D51">
        <f t="shared" ca="1" si="2"/>
        <v>80</v>
      </c>
      <c r="E51">
        <f t="shared" ca="1" si="10"/>
        <v>122</v>
      </c>
      <c r="F51" t="str">
        <f t="shared" ca="1" si="3"/>
        <v>FALSE</v>
      </c>
      <c r="G51">
        <f t="shared" ca="1" si="4"/>
        <v>25</v>
      </c>
      <c r="H51" t="str">
        <f t="shared" ca="1" si="5"/>
        <v>TRUE</v>
      </c>
      <c r="I51" t="str">
        <f t="shared" ca="1" si="6"/>
        <v>FALSE</v>
      </c>
      <c r="J51">
        <f t="shared" ca="1" si="7"/>
        <v>130</v>
      </c>
      <c r="K51" t="str">
        <f t="shared" ca="1" si="8"/>
        <v>TRUE</v>
      </c>
    </row>
    <row r="52" spans="1:11">
      <c r="A52">
        <f t="shared" si="9"/>
        <v>51</v>
      </c>
      <c r="B52">
        <f t="shared" ca="1" si="0"/>
        <v>58.5</v>
      </c>
      <c r="C52" t="str">
        <f t="shared" ca="1" si="1"/>
        <v>M</v>
      </c>
      <c r="D52">
        <f t="shared" ca="1" si="2"/>
        <v>155</v>
      </c>
      <c r="E52">
        <f t="shared" ca="1" si="10"/>
        <v>99</v>
      </c>
      <c r="F52" t="str">
        <f t="shared" ca="1" si="3"/>
        <v>FALSE</v>
      </c>
      <c r="G52">
        <f t="shared" ca="1" si="4"/>
        <v>29.55</v>
      </c>
      <c r="H52" t="str">
        <f t="shared" ca="1" si="5"/>
        <v>FALSE</v>
      </c>
      <c r="I52" t="str">
        <f t="shared" ca="1" si="6"/>
        <v>FALSE</v>
      </c>
      <c r="J52">
        <f t="shared" ca="1" si="7"/>
        <v>141</v>
      </c>
      <c r="K52" t="str">
        <f t="shared" ca="1" si="8"/>
        <v>FALSE</v>
      </c>
    </row>
    <row r="53" spans="1:11">
      <c r="A53">
        <f>A52+1</f>
        <v>52</v>
      </c>
      <c r="B53">
        <f t="shared" ca="1" si="0"/>
        <v>54</v>
      </c>
      <c r="C53" t="str">
        <f t="shared" ca="1" si="1"/>
        <v>F</v>
      </c>
      <c r="D53">
        <f t="shared" ca="1" si="2"/>
        <v>148</v>
      </c>
      <c r="E53">
        <f t="shared" ca="1" si="10"/>
        <v>110</v>
      </c>
      <c r="F53" t="str">
        <f t="shared" ca="1" si="3"/>
        <v>FALSE</v>
      </c>
      <c r="G53">
        <f t="shared" ca="1" si="4"/>
        <v>21.35</v>
      </c>
      <c r="H53" t="str">
        <f t="shared" ca="1" si="5"/>
        <v>TRUE</v>
      </c>
      <c r="I53" t="str">
        <f t="shared" ca="1" si="6"/>
        <v>FALSE</v>
      </c>
      <c r="J53">
        <f t="shared" ca="1" si="7"/>
        <v>137</v>
      </c>
      <c r="K53" t="str">
        <f t="shared" ca="1" si="8"/>
        <v>TRUE</v>
      </c>
    </row>
    <row r="54" spans="1:11">
      <c r="A54">
        <f t="shared" si="9"/>
        <v>53</v>
      </c>
      <c r="B54">
        <f t="shared" ca="1" si="0"/>
        <v>55.5</v>
      </c>
      <c r="C54" t="str">
        <f t="shared" ca="1" si="1"/>
        <v>M</v>
      </c>
      <c r="D54">
        <f t="shared" ca="1" si="2"/>
        <v>116</v>
      </c>
      <c r="E54">
        <f t="shared" ca="1" si="10"/>
        <v>97</v>
      </c>
      <c r="F54" t="str">
        <f t="shared" ca="1" si="3"/>
        <v>TRUE</v>
      </c>
      <c r="G54">
        <f t="shared" ca="1" si="4"/>
        <v>23.45</v>
      </c>
      <c r="H54" t="str">
        <f t="shared" ca="1" si="5"/>
        <v>FALSE</v>
      </c>
      <c r="I54" t="str">
        <f t="shared" ca="1" si="6"/>
        <v>FALSE</v>
      </c>
      <c r="J54">
        <f t="shared" ca="1" si="7"/>
        <v>139</v>
      </c>
      <c r="K54" t="str">
        <f t="shared" ca="1" si="8"/>
        <v>TRUE</v>
      </c>
    </row>
    <row r="55" spans="1:11">
      <c r="A55">
        <f t="shared" si="9"/>
        <v>54</v>
      </c>
      <c r="B55">
        <f t="shared" ca="1" si="0"/>
        <v>54</v>
      </c>
      <c r="C55" t="str">
        <f t="shared" ca="1" si="1"/>
        <v>M</v>
      </c>
      <c r="D55">
        <f t="shared" ca="1" si="2"/>
        <v>101</v>
      </c>
      <c r="E55">
        <f t="shared" ca="1" si="10"/>
        <v>111</v>
      </c>
      <c r="F55" t="str">
        <f t="shared" ca="1" si="3"/>
        <v>FALSE</v>
      </c>
      <c r="G55">
        <f t="shared" ca="1" si="4"/>
        <v>23.55</v>
      </c>
      <c r="H55" t="str">
        <f t="shared" ca="1" si="5"/>
        <v>TRUE</v>
      </c>
      <c r="I55" t="str">
        <f t="shared" ca="1" si="6"/>
        <v>TRUE</v>
      </c>
      <c r="J55">
        <f t="shared" ca="1" si="7"/>
        <v>121</v>
      </c>
      <c r="K55" t="str">
        <f t="shared" ca="1" si="8"/>
        <v>FALSE</v>
      </c>
    </row>
    <row r="56" spans="1:11">
      <c r="A56">
        <f t="shared" si="9"/>
        <v>55</v>
      </c>
      <c r="B56">
        <f t="shared" ca="1" si="0"/>
        <v>51.5</v>
      </c>
      <c r="C56" t="str">
        <f t="shared" ca="1" si="1"/>
        <v>F</v>
      </c>
      <c r="D56">
        <f t="shared" ca="1" si="2"/>
        <v>148</v>
      </c>
      <c r="E56">
        <f t="shared" ca="1" si="10"/>
        <v>95</v>
      </c>
      <c r="F56" t="str">
        <f t="shared" ca="1" si="3"/>
        <v>TRUE</v>
      </c>
      <c r="G56">
        <f t="shared" ca="1" si="4"/>
        <v>21.5</v>
      </c>
      <c r="H56" t="str">
        <f t="shared" ca="1" si="5"/>
        <v>TRUE</v>
      </c>
      <c r="I56" t="str">
        <f t="shared" ca="1" si="6"/>
        <v>TRUE</v>
      </c>
      <c r="J56">
        <f t="shared" ca="1" si="7"/>
        <v>140</v>
      </c>
      <c r="K56" t="str">
        <f t="shared" ca="1" si="8"/>
        <v>TRUE</v>
      </c>
    </row>
    <row r="57" spans="1:11">
      <c r="A57">
        <f t="shared" si="9"/>
        <v>56</v>
      </c>
      <c r="B57">
        <f t="shared" ca="1" si="0"/>
        <v>63</v>
      </c>
      <c r="C57" t="str">
        <f t="shared" ca="1" si="1"/>
        <v>F</v>
      </c>
      <c r="D57">
        <f t="shared" ca="1" si="2"/>
        <v>112</v>
      </c>
      <c r="E57">
        <f t="shared" ca="1" si="10"/>
        <v>131</v>
      </c>
      <c r="F57" t="str">
        <f t="shared" ca="1" si="3"/>
        <v>TRUE</v>
      </c>
      <c r="G57">
        <f t="shared" ca="1" si="4"/>
        <v>25.05</v>
      </c>
      <c r="H57" t="str">
        <f t="shared" ca="1" si="5"/>
        <v>TRUE</v>
      </c>
      <c r="I57" t="str">
        <f t="shared" ca="1" si="6"/>
        <v>FALSE</v>
      </c>
      <c r="J57">
        <f t="shared" ca="1" si="7"/>
        <v>151</v>
      </c>
      <c r="K57" t="str">
        <f t="shared" ca="1" si="8"/>
        <v>FALSE</v>
      </c>
    </row>
    <row r="58" spans="1:11">
      <c r="A58">
        <f t="shared" si="9"/>
        <v>57</v>
      </c>
      <c r="B58">
        <f t="shared" ca="1" si="0"/>
        <v>54.5</v>
      </c>
      <c r="C58" t="str">
        <f t="shared" ca="1" si="1"/>
        <v>F</v>
      </c>
      <c r="D58">
        <f t="shared" ca="1" si="2"/>
        <v>133</v>
      </c>
      <c r="E58">
        <f t="shared" ca="1" si="10"/>
        <v>94</v>
      </c>
      <c r="F58" t="str">
        <f t="shared" ca="1" si="3"/>
        <v>FALSE</v>
      </c>
      <c r="G58">
        <f t="shared" ca="1" si="4"/>
        <v>22.9</v>
      </c>
      <c r="H58" t="str">
        <f t="shared" ca="1" si="5"/>
        <v>TRUE</v>
      </c>
      <c r="I58" t="str">
        <f t="shared" ca="1" si="6"/>
        <v>FALSE</v>
      </c>
      <c r="J58">
        <f t="shared" ca="1" si="7"/>
        <v>128</v>
      </c>
      <c r="K58" t="str">
        <f t="shared" ca="1" si="8"/>
        <v>FALSE</v>
      </c>
    </row>
    <row r="59" spans="1:11">
      <c r="A59">
        <f t="shared" si="9"/>
        <v>58</v>
      </c>
      <c r="B59">
        <f t="shared" ca="1" si="0"/>
        <v>58</v>
      </c>
      <c r="C59" t="str">
        <f t="shared" ca="1" si="1"/>
        <v>M</v>
      </c>
      <c r="D59">
        <f t="shared" ca="1" si="2"/>
        <v>84</v>
      </c>
      <c r="E59">
        <f t="shared" ca="1" si="10"/>
        <v>130</v>
      </c>
      <c r="F59" t="str">
        <f t="shared" ca="1" si="3"/>
        <v>FALSE</v>
      </c>
      <c r="G59">
        <f t="shared" ca="1" si="4"/>
        <v>22</v>
      </c>
      <c r="H59" t="str">
        <f t="shared" ca="1" si="5"/>
        <v>FALSE</v>
      </c>
      <c r="I59" t="str">
        <f t="shared" ca="1" si="6"/>
        <v>FALSE</v>
      </c>
      <c r="J59">
        <f t="shared" ca="1" si="7"/>
        <v>110</v>
      </c>
      <c r="K59" t="str">
        <f t="shared" ca="1" si="8"/>
        <v>TRUE</v>
      </c>
    </row>
    <row r="60" spans="1:11">
      <c r="A60">
        <f t="shared" si="9"/>
        <v>59</v>
      </c>
      <c r="B60">
        <f t="shared" ca="1" si="0"/>
        <v>55.5</v>
      </c>
      <c r="C60" t="str">
        <f t="shared" ca="1" si="1"/>
        <v>M</v>
      </c>
      <c r="D60">
        <f t="shared" ca="1" si="2"/>
        <v>98</v>
      </c>
      <c r="E60">
        <f t="shared" ca="1" si="10"/>
        <v>125</v>
      </c>
      <c r="F60" t="str">
        <f t="shared" ca="1" si="3"/>
        <v>FALSE</v>
      </c>
      <c r="G60">
        <f t="shared" ca="1" si="4"/>
        <v>28.9</v>
      </c>
      <c r="H60" t="str">
        <f t="shared" ca="1" si="5"/>
        <v>TRUE</v>
      </c>
      <c r="I60" t="str">
        <f t="shared" ca="1" si="6"/>
        <v>FALSE</v>
      </c>
      <c r="J60">
        <f t="shared" ca="1" si="7"/>
        <v>108</v>
      </c>
      <c r="K60" t="str">
        <f t="shared" ca="1" si="8"/>
        <v>FALSE</v>
      </c>
    </row>
    <row r="61" spans="1:11">
      <c r="A61">
        <f t="shared" si="9"/>
        <v>60</v>
      </c>
      <c r="B61">
        <f t="shared" ca="1" si="0"/>
        <v>55</v>
      </c>
      <c r="C61" t="str">
        <f t="shared" ca="1" si="1"/>
        <v>M</v>
      </c>
      <c r="D61">
        <f t="shared" ca="1" si="2"/>
        <v>141</v>
      </c>
      <c r="E61">
        <f t="shared" ca="1" si="10"/>
        <v>125</v>
      </c>
      <c r="F61" t="str">
        <f t="shared" ca="1" si="3"/>
        <v>TRUE</v>
      </c>
      <c r="G61">
        <f t="shared" ca="1" si="4"/>
        <v>23.35</v>
      </c>
      <c r="H61" t="str">
        <f t="shared" ca="1" si="5"/>
        <v>TRUE</v>
      </c>
      <c r="I61" t="str">
        <f t="shared" ca="1" si="6"/>
        <v>FALSE</v>
      </c>
      <c r="J61">
        <f t="shared" ca="1" si="7"/>
        <v>117</v>
      </c>
      <c r="K61" t="str">
        <f t="shared" ca="1" si="8"/>
        <v>FALSE</v>
      </c>
    </row>
    <row r="62" spans="1:11">
      <c r="A62">
        <f t="shared" si="9"/>
        <v>61</v>
      </c>
      <c r="B62">
        <f t="shared" ca="1" si="0"/>
        <v>65.5</v>
      </c>
      <c r="C62" t="str">
        <f t="shared" ca="1" si="1"/>
        <v>M</v>
      </c>
      <c r="D62">
        <f t="shared" ca="1" si="2"/>
        <v>127</v>
      </c>
      <c r="E62">
        <f t="shared" ca="1" si="10"/>
        <v>102</v>
      </c>
      <c r="F62" t="str">
        <f t="shared" ca="1" si="3"/>
        <v>FALSE</v>
      </c>
      <c r="G62">
        <f t="shared" ca="1" si="4"/>
        <v>28.2</v>
      </c>
      <c r="H62" t="str">
        <f t="shared" ca="1" si="5"/>
        <v>FALSE</v>
      </c>
      <c r="I62" t="str">
        <f t="shared" ca="1" si="6"/>
        <v>FALSE</v>
      </c>
      <c r="J62">
        <f t="shared" ca="1" si="7"/>
        <v>114</v>
      </c>
      <c r="K62" t="str">
        <f t="shared" ca="1" si="8"/>
        <v>FALSE</v>
      </c>
    </row>
    <row r="63" spans="1:11">
      <c r="A63">
        <f t="shared" si="9"/>
        <v>62</v>
      </c>
      <c r="B63">
        <f t="shared" ca="1" si="0"/>
        <v>60</v>
      </c>
      <c r="C63" t="str">
        <f t="shared" ca="1" si="1"/>
        <v>M</v>
      </c>
      <c r="D63">
        <f t="shared" ca="1" si="2"/>
        <v>114</v>
      </c>
      <c r="E63">
        <f t="shared" ca="1" si="10"/>
        <v>114</v>
      </c>
      <c r="F63" t="str">
        <f t="shared" ca="1" si="3"/>
        <v>TRUE</v>
      </c>
      <c r="G63">
        <f t="shared" ca="1" si="4"/>
        <v>21.35</v>
      </c>
      <c r="H63" t="str">
        <f t="shared" ca="1" si="5"/>
        <v>FALSE</v>
      </c>
      <c r="I63" t="str">
        <f t="shared" ca="1" si="6"/>
        <v>FALSE</v>
      </c>
      <c r="J63">
        <f t="shared" ca="1" si="7"/>
        <v>137</v>
      </c>
      <c r="K63" t="str">
        <f t="shared" ca="1" si="8"/>
        <v>TRUE</v>
      </c>
    </row>
    <row r="64" spans="1:11">
      <c r="A64">
        <f>A63+1</f>
        <v>63</v>
      </c>
      <c r="B64">
        <f t="shared" ca="1" si="0"/>
        <v>61.5</v>
      </c>
      <c r="C64" t="str">
        <f t="shared" ca="1" si="1"/>
        <v>M</v>
      </c>
      <c r="D64">
        <f t="shared" ca="1" si="2"/>
        <v>140</v>
      </c>
      <c r="E64">
        <f t="shared" ca="1" si="10"/>
        <v>109</v>
      </c>
      <c r="F64" t="str">
        <f t="shared" ca="1" si="3"/>
        <v>TRUE</v>
      </c>
      <c r="G64">
        <f t="shared" ca="1" si="4"/>
        <v>19.100000000000001</v>
      </c>
      <c r="H64" t="str">
        <f t="shared" ca="1" si="5"/>
        <v>FALSE</v>
      </c>
      <c r="I64" t="str">
        <f t="shared" ca="1" si="6"/>
        <v>FALSE</v>
      </c>
      <c r="J64">
        <f t="shared" ca="1" si="7"/>
        <v>112</v>
      </c>
      <c r="K64" t="str">
        <f t="shared" ca="1" si="8"/>
        <v>TRUE</v>
      </c>
    </row>
    <row r="65" spans="1:11">
      <c r="A65">
        <f t="shared" si="9"/>
        <v>64</v>
      </c>
      <c r="B65">
        <f t="shared" ca="1" si="0"/>
        <v>59</v>
      </c>
      <c r="C65" t="str">
        <f t="shared" ca="1" si="1"/>
        <v>M</v>
      </c>
      <c r="D65">
        <f t="shared" ca="1" si="2"/>
        <v>145</v>
      </c>
      <c r="E65">
        <f t="shared" ca="1" si="10"/>
        <v>129</v>
      </c>
      <c r="F65" t="str">
        <f t="shared" ca="1" si="3"/>
        <v>TRUE</v>
      </c>
      <c r="G65">
        <f t="shared" ca="1" si="4"/>
        <v>29.65</v>
      </c>
      <c r="H65" t="str">
        <f t="shared" ca="1" si="5"/>
        <v>TRUE</v>
      </c>
      <c r="I65" t="str">
        <f t="shared" ca="1" si="6"/>
        <v>FALSE</v>
      </c>
      <c r="J65">
        <f t="shared" ca="1" si="7"/>
        <v>143</v>
      </c>
      <c r="K65" t="str">
        <f t="shared" ca="1" si="8"/>
        <v>TRUE</v>
      </c>
    </row>
    <row r="66" spans="1:11">
      <c r="A66">
        <f t="shared" si="9"/>
        <v>65</v>
      </c>
      <c r="B66">
        <f t="shared" ca="1" si="0"/>
        <v>61.5</v>
      </c>
      <c r="C66" t="str">
        <f t="shared" ca="1" si="1"/>
        <v>F</v>
      </c>
      <c r="D66">
        <f t="shared" ca="1" si="2"/>
        <v>105</v>
      </c>
      <c r="E66">
        <f t="shared" ca="1" si="10"/>
        <v>113</v>
      </c>
      <c r="F66" t="str">
        <f t="shared" ca="1" si="3"/>
        <v>FALSE</v>
      </c>
      <c r="G66">
        <f t="shared" ca="1" si="4"/>
        <v>28.3</v>
      </c>
      <c r="H66" t="str">
        <f t="shared" ca="1" si="5"/>
        <v>FALSE</v>
      </c>
      <c r="I66" t="str">
        <f t="shared" ca="1" si="6"/>
        <v>TRUE</v>
      </c>
      <c r="J66">
        <f t="shared" ca="1" si="7"/>
        <v>136</v>
      </c>
      <c r="K66" t="str">
        <f t="shared" ca="1" si="8"/>
        <v>TRUE</v>
      </c>
    </row>
    <row r="67" spans="1:11">
      <c r="A67">
        <f t="shared" si="9"/>
        <v>66</v>
      </c>
      <c r="B67">
        <f t="shared" ref="B67:B76" ca="1" si="11">24+RANDBETWEEN(-6+A67/10,6+A67/10)+(A67/2)</f>
        <v>58</v>
      </c>
      <c r="C67" t="str">
        <f t="shared" ref="C67:C76" ca="1" si="12">IF(RANDBETWEEN(-1,0)&gt;-1,"M","F")</f>
        <v>M</v>
      </c>
      <c r="D67">
        <f t="shared" ref="D67:D76" ca="1" si="13">90+RANDBETWEEN(-40+A67/2,40+A67/2)</f>
        <v>92</v>
      </c>
      <c r="E67">
        <f t="shared" ca="1" si="10"/>
        <v>112</v>
      </c>
      <c r="F67" t="str">
        <f t="shared" ref="F67:F76" ca="1" si="14">IF(RANDBETWEEN(-1,2)&gt;-1,IF(D67&gt;110,"TRUE","FALSE"),"FALSE")</f>
        <v>FALSE</v>
      </c>
      <c r="G67">
        <f t="shared" ref="G67:G76" ca="1" si="15">18.5+(J67/20)+RANDBETWEEN(-5,5)</f>
        <v>24.1</v>
      </c>
      <c r="H67" t="str">
        <f t="shared" ref="H67:H76" ca="1" si="16">IF(D67+E67&gt;175,IF(RAND()&gt;0.3,"TRUE","FALSE"),IF(RAND()&gt;0.7,"TRUE","FALSE"))</f>
        <v>TRUE</v>
      </c>
      <c r="I67" t="str">
        <f t="shared" ref="I67:I76" ca="1" si="17">IF(E67/D67&gt;0.9,IF(RAND()&gt;0.3,"TRUE","FALSE"),IF(RAND()&gt;0.7,"TRUE","FALSE"))</f>
        <v>TRUE</v>
      </c>
      <c r="J67">
        <f t="shared" ref="J67:J76" ca="1" si="18">100+RANDBETWEEN(-20+B67/2,20+B67/2)</f>
        <v>132</v>
      </c>
      <c r="K67" t="str">
        <f t="shared" ref="K67:K76" ca="1" si="19">IF(RANDBETWEEN(-1,0)&gt;-1,"TRUE","FALSE")</f>
        <v>FALSE</v>
      </c>
    </row>
    <row r="68" spans="1:11">
      <c r="A68">
        <f t="shared" ref="A68:A70" si="20">A67+1</f>
        <v>67</v>
      </c>
      <c r="B68">
        <f t="shared" ca="1" si="11"/>
        <v>63.5</v>
      </c>
      <c r="C68" t="str">
        <f t="shared" ca="1" si="12"/>
        <v>F</v>
      </c>
      <c r="D68">
        <f t="shared" ca="1" si="13"/>
        <v>102</v>
      </c>
      <c r="E68">
        <f t="shared" ref="E68:E76" ca="1" si="21">85+RANDBETWEEN(-20+B68/2,20+B68/2)</f>
        <v>124</v>
      </c>
      <c r="F68" t="str">
        <f t="shared" ca="1" si="14"/>
        <v>FALSE</v>
      </c>
      <c r="G68">
        <f t="shared" ca="1" si="15"/>
        <v>20.55</v>
      </c>
      <c r="H68" t="str">
        <f t="shared" ca="1" si="16"/>
        <v>FALSE</v>
      </c>
      <c r="I68" t="str">
        <f t="shared" ca="1" si="17"/>
        <v>TRUE</v>
      </c>
      <c r="J68">
        <f t="shared" ca="1" si="18"/>
        <v>121</v>
      </c>
      <c r="K68" t="str">
        <f t="shared" ca="1" si="19"/>
        <v>FALSE</v>
      </c>
    </row>
    <row r="69" spans="1:11">
      <c r="A69">
        <f t="shared" si="20"/>
        <v>68</v>
      </c>
      <c r="B69">
        <f t="shared" ca="1" si="11"/>
        <v>61</v>
      </c>
      <c r="C69" t="str">
        <f t="shared" ca="1" si="12"/>
        <v>F</v>
      </c>
      <c r="D69">
        <f t="shared" ca="1" si="13"/>
        <v>124</v>
      </c>
      <c r="E69">
        <f t="shared" ca="1" si="21"/>
        <v>96</v>
      </c>
      <c r="F69" t="str">
        <f t="shared" ca="1" si="14"/>
        <v>TRUE</v>
      </c>
      <c r="G69">
        <f t="shared" ca="1" si="15"/>
        <v>19.850000000000001</v>
      </c>
      <c r="H69" t="str">
        <f t="shared" ca="1" si="16"/>
        <v>TRUE</v>
      </c>
      <c r="I69" t="str">
        <f t="shared" ca="1" si="17"/>
        <v>TRUE</v>
      </c>
      <c r="J69">
        <f t="shared" ca="1" si="18"/>
        <v>127</v>
      </c>
      <c r="K69" t="str">
        <f t="shared" ca="1" si="19"/>
        <v>TRUE</v>
      </c>
    </row>
    <row r="70" spans="1:11">
      <c r="A70">
        <f>A69+1</f>
        <v>69</v>
      </c>
      <c r="B70">
        <f t="shared" ca="1" si="11"/>
        <v>63.5</v>
      </c>
      <c r="C70" t="str">
        <f t="shared" ca="1" si="12"/>
        <v>M</v>
      </c>
      <c r="D70">
        <f t="shared" ca="1" si="13"/>
        <v>162</v>
      </c>
      <c r="E70">
        <f t="shared" ca="1" si="21"/>
        <v>111</v>
      </c>
      <c r="F70" t="str">
        <f t="shared" ca="1" si="14"/>
        <v>TRUE</v>
      </c>
      <c r="G70">
        <f t="shared" ca="1" si="15"/>
        <v>23</v>
      </c>
      <c r="H70" t="str">
        <f t="shared" ca="1" si="16"/>
        <v>TRUE</v>
      </c>
      <c r="I70" t="str">
        <f t="shared" ca="1" si="17"/>
        <v>FALSE</v>
      </c>
      <c r="J70">
        <f t="shared" ca="1" si="18"/>
        <v>150</v>
      </c>
      <c r="K70" t="str">
        <f t="shared" ca="1" si="19"/>
        <v>FALSE</v>
      </c>
    </row>
    <row r="71" spans="1:11">
      <c r="A71">
        <f t="shared" ref="A71:A76" si="22">A70+1</f>
        <v>70</v>
      </c>
      <c r="B71">
        <f t="shared" ca="1" si="11"/>
        <v>69</v>
      </c>
      <c r="C71" t="str">
        <f t="shared" ca="1" si="12"/>
        <v>M</v>
      </c>
      <c r="D71">
        <f t="shared" ca="1" si="13"/>
        <v>147</v>
      </c>
      <c r="E71">
        <f t="shared" ca="1" si="21"/>
        <v>124</v>
      </c>
      <c r="F71" t="str">
        <f t="shared" ca="1" si="14"/>
        <v>TRUE</v>
      </c>
      <c r="G71">
        <f t="shared" ca="1" si="15"/>
        <v>27.25</v>
      </c>
      <c r="H71" t="str">
        <f t="shared" ca="1" si="16"/>
        <v>TRUE</v>
      </c>
      <c r="I71" t="str">
        <f t="shared" ca="1" si="17"/>
        <v>FALSE</v>
      </c>
      <c r="J71">
        <f t="shared" ca="1" si="18"/>
        <v>135</v>
      </c>
      <c r="K71" t="str">
        <f t="shared" ca="1" si="19"/>
        <v>TRUE</v>
      </c>
    </row>
    <row r="72" spans="1:11">
      <c r="A72">
        <f t="shared" si="22"/>
        <v>71</v>
      </c>
      <c r="B72">
        <f t="shared" ca="1" si="11"/>
        <v>65.5</v>
      </c>
      <c r="C72" t="str">
        <f t="shared" ca="1" si="12"/>
        <v>F</v>
      </c>
      <c r="D72">
        <f t="shared" ca="1" si="13"/>
        <v>88</v>
      </c>
      <c r="E72">
        <f t="shared" ca="1" si="21"/>
        <v>111</v>
      </c>
      <c r="F72" t="str">
        <f t="shared" ca="1" si="14"/>
        <v>FALSE</v>
      </c>
      <c r="G72">
        <f t="shared" ca="1" si="15"/>
        <v>27.4</v>
      </c>
      <c r="H72" t="str">
        <f t="shared" ca="1" si="16"/>
        <v>TRUE</v>
      </c>
      <c r="I72" t="str">
        <f t="shared" ca="1" si="17"/>
        <v>TRUE</v>
      </c>
      <c r="J72">
        <f t="shared" ca="1" si="18"/>
        <v>118</v>
      </c>
      <c r="K72" t="str">
        <f t="shared" ca="1" si="19"/>
        <v>TRUE</v>
      </c>
    </row>
    <row r="73" spans="1:11">
      <c r="A73">
        <f t="shared" si="22"/>
        <v>72</v>
      </c>
      <c r="B73">
        <f t="shared" ca="1" si="11"/>
        <v>63</v>
      </c>
      <c r="C73" t="str">
        <f t="shared" ca="1" si="12"/>
        <v>F</v>
      </c>
      <c r="D73">
        <f t="shared" ca="1" si="13"/>
        <v>94</v>
      </c>
      <c r="E73">
        <f t="shared" ca="1" si="21"/>
        <v>124</v>
      </c>
      <c r="F73" t="str">
        <f t="shared" ca="1" si="14"/>
        <v>FALSE</v>
      </c>
      <c r="G73">
        <f t="shared" ca="1" si="15"/>
        <v>21.85</v>
      </c>
      <c r="H73" t="str">
        <f t="shared" ca="1" si="16"/>
        <v>FALSE</v>
      </c>
      <c r="I73" t="str">
        <f t="shared" ca="1" si="17"/>
        <v>TRUE</v>
      </c>
      <c r="J73">
        <f t="shared" ca="1" si="18"/>
        <v>127</v>
      </c>
      <c r="K73" t="str">
        <f t="shared" ca="1" si="19"/>
        <v>FALSE</v>
      </c>
    </row>
    <row r="74" spans="1:11">
      <c r="A74">
        <f t="shared" si="22"/>
        <v>73</v>
      </c>
      <c r="B74">
        <f t="shared" ca="1" si="11"/>
        <v>66.5</v>
      </c>
      <c r="C74" t="str">
        <f t="shared" ca="1" si="12"/>
        <v>F</v>
      </c>
      <c r="D74">
        <f t="shared" ca="1" si="13"/>
        <v>159</v>
      </c>
      <c r="E74">
        <f t="shared" ca="1" si="21"/>
        <v>106</v>
      </c>
      <c r="F74" t="str">
        <f t="shared" ca="1" si="14"/>
        <v>TRUE</v>
      </c>
      <c r="G74">
        <f t="shared" ca="1" si="15"/>
        <v>29.1</v>
      </c>
      <c r="H74" t="str">
        <f t="shared" ca="1" si="16"/>
        <v>FALSE</v>
      </c>
      <c r="I74" t="str">
        <f t="shared" ca="1" si="17"/>
        <v>FALSE</v>
      </c>
      <c r="J74">
        <f t="shared" ca="1" si="18"/>
        <v>152</v>
      </c>
      <c r="K74" t="str">
        <f t="shared" ca="1" si="19"/>
        <v>TRUE</v>
      </c>
    </row>
    <row r="75" spans="1:11">
      <c r="A75">
        <f t="shared" si="22"/>
        <v>74</v>
      </c>
      <c r="B75">
        <f t="shared" ca="1" si="11"/>
        <v>63</v>
      </c>
      <c r="C75" t="str">
        <f t="shared" ca="1" si="12"/>
        <v>F</v>
      </c>
      <c r="D75">
        <f t="shared" ca="1" si="13"/>
        <v>91</v>
      </c>
      <c r="E75">
        <f t="shared" ca="1" si="21"/>
        <v>117</v>
      </c>
      <c r="F75" t="str">
        <f t="shared" ca="1" si="14"/>
        <v>FALSE</v>
      </c>
      <c r="G75">
        <f t="shared" ca="1" si="15"/>
        <v>21.15</v>
      </c>
      <c r="H75" t="str">
        <f t="shared" ca="1" si="16"/>
        <v>TRUE</v>
      </c>
      <c r="I75" t="str">
        <f t="shared" ca="1" si="17"/>
        <v>TRUE</v>
      </c>
      <c r="J75">
        <f t="shared" ca="1" si="18"/>
        <v>113</v>
      </c>
      <c r="K75" t="str">
        <f t="shared" ca="1" si="19"/>
        <v>TRUE</v>
      </c>
    </row>
    <row r="76" spans="1:11">
      <c r="A76">
        <f>A75+1</f>
        <v>75</v>
      </c>
      <c r="B76">
        <f t="shared" ca="1" si="11"/>
        <v>72.5</v>
      </c>
      <c r="C76" t="str">
        <f t="shared" ca="1" si="12"/>
        <v>F</v>
      </c>
      <c r="D76">
        <f t="shared" ca="1" si="13"/>
        <v>135</v>
      </c>
      <c r="E76">
        <f t="shared" ca="1" si="21"/>
        <v>140</v>
      </c>
      <c r="F76" t="str">
        <f t="shared" ca="1" si="14"/>
        <v>FALSE</v>
      </c>
      <c r="G76">
        <f t="shared" ca="1" si="15"/>
        <v>19.600000000000001</v>
      </c>
      <c r="H76" t="str">
        <f t="shared" ca="1" si="16"/>
        <v>FALSE</v>
      </c>
      <c r="I76" t="str">
        <f t="shared" ca="1" si="17"/>
        <v>TRUE</v>
      </c>
      <c r="J76">
        <f t="shared" ca="1" si="18"/>
        <v>122</v>
      </c>
      <c r="K76" t="str">
        <f t="shared" ca="1" si="19"/>
        <v>TRUE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8472-2C60-A74A-AEEF-8017991D31C1}">
  <dimension ref="A1:K76"/>
  <sheetViews>
    <sheetView tabSelected="1" workbookViewId="0">
      <selection activeCell="B8" sqref="B8"/>
    </sheetView>
  </sheetViews>
  <sheetFormatPr baseColWidth="10" defaultRowHeight="15"/>
  <sheetData>
    <row r="1" spans="1:11">
      <c r="A1" s="1" t="s">
        <v>0</v>
      </c>
      <c r="B1" s="1" t="s">
        <v>8</v>
      </c>
      <c r="C1" s="1" t="s">
        <v>10</v>
      </c>
      <c r="D1" s="1" t="s">
        <v>2</v>
      </c>
      <c r="E1" s="1" t="s">
        <v>20</v>
      </c>
      <c r="F1" s="1" t="s">
        <v>4</v>
      </c>
      <c r="G1" s="1" t="s">
        <v>6</v>
      </c>
      <c r="H1" s="1" t="s">
        <v>12</v>
      </c>
      <c r="I1" s="1" t="s">
        <v>14</v>
      </c>
      <c r="J1" s="1" t="s">
        <v>16</v>
      </c>
      <c r="K1" s="1" t="s">
        <v>18</v>
      </c>
    </row>
    <row r="2" spans="1:11">
      <c r="A2" s="1">
        <v>1</v>
      </c>
      <c r="B2" s="1">
        <v>23.5</v>
      </c>
      <c r="C2" s="1" t="s">
        <v>22</v>
      </c>
      <c r="D2" s="1">
        <v>125</v>
      </c>
      <c r="E2" s="1">
        <v>107</v>
      </c>
      <c r="F2" s="1" t="b">
        <v>1</v>
      </c>
      <c r="G2" s="1">
        <v>22.05</v>
      </c>
      <c r="H2" s="1" t="b">
        <v>1</v>
      </c>
      <c r="I2" s="1" t="b">
        <v>0</v>
      </c>
      <c r="J2" s="1">
        <v>131</v>
      </c>
      <c r="K2" s="1" t="b">
        <v>1</v>
      </c>
    </row>
    <row r="3" spans="1:11">
      <c r="A3" s="1">
        <v>2</v>
      </c>
      <c r="B3" s="1">
        <v>24</v>
      </c>
      <c r="C3" s="1" t="s">
        <v>23</v>
      </c>
      <c r="D3" s="1">
        <v>51</v>
      </c>
      <c r="E3" s="1">
        <v>90</v>
      </c>
      <c r="F3" s="1" t="b">
        <v>0</v>
      </c>
      <c r="G3" s="1">
        <v>27.8</v>
      </c>
      <c r="H3" s="1" t="b">
        <v>0</v>
      </c>
      <c r="I3" s="1" t="b">
        <v>1</v>
      </c>
      <c r="J3" s="1">
        <v>126</v>
      </c>
      <c r="K3" s="1" t="b">
        <v>1</v>
      </c>
    </row>
    <row r="4" spans="1:11">
      <c r="A4" s="1">
        <v>3</v>
      </c>
      <c r="B4" s="1">
        <v>31.5</v>
      </c>
      <c r="C4" s="1" t="s">
        <v>23</v>
      </c>
      <c r="D4" s="1">
        <v>131</v>
      </c>
      <c r="E4" s="1">
        <v>112</v>
      </c>
      <c r="F4" s="1" t="b">
        <v>1</v>
      </c>
      <c r="G4" s="1">
        <v>21.6</v>
      </c>
      <c r="H4" s="1" t="b">
        <v>1</v>
      </c>
      <c r="I4" s="1" t="b">
        <v>0</v>
      </c>
      <c r="J4" s="1">
        <v>102</v>
      </c>
      <c r="K4" s="1" t="b">
        <v>0</v>
      </c>
    </row>
    <row r="5" spans="1:11">
      <c r="A5" s="1">
        <v>4</v>
      </c>
      <c r="B5" s="1">
        <v>25</v>
      </c>
      <c r="C5" s="1" t="s">
        <v>23</v>
      </c>
      <c r="D5" s="1">
        <v>97</v>
      </c>
      <c r="E5" s="1">
        <v>108</v>
      </c>
      <c r="F5" s="1" t="b">
        <v>0</v>
      </c>
      <c r="G5" s="1">
        <v>25.95</v>
      </c>
      <c r="H5" s="1" t="b">
        <v>1</v>
      </c>
      <c r="I5" s="1" t="b">
        <v>1</v>
      </c>
      <c r="J5" s="1">
        <v>109</v>
      </c>
      <c r="K5" s="1" t="b">
        <v>1</v>
      </c>
    </row>
    <row r="6" spans="1:11">
      <c r="A6" s="1">
        <v>5</v>
      </c>
      <c r="B6" s="1">
        <v>30.5</v>
      </c>
      <c r="C6" s="1" t="s">
        <v>23</v>
      </c>
      <c r="D6" s="1">
        <v>112</v>
      </c>
      <c r="E6" s="1">
        <v>110</v>
      </c>
      <c r="F6" s="1" t="b">
        <v>1</v>
      </c>
      <c r="G6" s="1">
        <v>20.75</v>
      </c>
      <c r="H6" s="1" t="b">
        <v>0</v>
      </c>
      <c r="I6" s="1" t="b">
        <v>1</v>
      </c>
      <c r="J6" s="1">
        <v>105</v>
      </c>
      <c r="K6" s="1" t="b">
        <v>0</v>
      </c>
    </row>
    <row r="7" spans="1:11">
      <c r="A7" s="1">
        <v>6</v>
      </c>
      <c r="B7" s="1">
        <v>27</v>
      </c>
      <c r="C7" s="1" t="s">
        <v>23</v>
      </c>
      <c r="D7" s="1">
        <v>132</v>
      </c>
      <c r="E7" s="1">
        <v>84</v>
      </c>
      <c r="F7" s="1" t="b">
        <v>1</v>
      </c>
      <c r="G7" s="1">
        <v>29.15</v>
      </c>
      <c r="H7" s="1" t="b">
        <v>0</v>
      </c>
      <c r="I7" s="1" t="b">
        <v>1</v>
      </c>
      <c r="J7" s="1">
        <v>133</v>
      </c>
      <c r="K7" s="1" t="b">
        <v>1</v>
      </c>
    </row>
    <row r="8" spans="1:11">
      <c r="A8" s="1">
        <v>7</v>
      </c>
      <c r="B8" s="1">
        <v>24.5</v>
      </c>
      <c r="C8" s="1" t="s">
        <v>22</v>
      </c>
      <c r="D8" s="1">
        <v>115</v>
      </c>
      <c r="E8" s="1">
        <v>109</v>
      </c>
      <c r="F8" s="1" t="b">
        <v>1</v>
      </c>
      <c r="G8" s="1">
        <v>22.2</v>
      </c>
      <c r="H8" s="1" t="b">
        <v>1</v>
      </c>
      <c r="I8" s="1" t="b">
        <v>1</v>
      </c>
      <c r="J8" s="1">
        <v>114</v>
      </c>
      <c r="K8" s="1" t="b">
        <v>0</v>
      </c>
    </row>
    <row r="9" spans="1:11">
      <c r="A9" s="1">
        <v>8</v>
      </c>
      <c r="B9" s="1">
        <v>33</v>
      </c>
      <c r="C9" s="1" t="s">
        <v>22</v>
      </c>
      <c r="D9" s="1">
        <v>75</v>
      </c>
      <c r="E9" s="1">
        <v>99</v>
      </c>
      <c r="F9" s="1" t="b">
        <v>0</v>
      </c>
      <c r="G9" s="1">
        <v>21.85</v>
      </c>
      <c r="H9" s="1" t="b">
        <v>1</v>
      </c>
      <c r="I9" s="1" t="b">
        <v>0</v>
      </c>
      <c r="J9" s="1">
        <v>127</v>
      </c>
      <c r="K9" s="1" t="b">
        <v>0</v>
      </c>
    </row>
    <row r="10" spans="1:11">
      <c r="A10" s="1">
        <v>9</v>
      </c>
      <c r="B10" s="1">
        <v>33.5</v>
      </c>
      <c r="C10" s="1" t="s">
        <v>23</v>
      </c>
      <c r="D10" s="1">
        <v>97</v>
      </c>
      <c r="E10" s="1">
        <v>99</v>
      </c>
      <c r="F10" s="1" t="b">
        <v>0</v>
      </c>
      <c r="G10" s="1">
        <v>27.3</v>
      </c>
      <c r="H10" s="1" t="b">
        <v>1</v>
      </c>
      <c r="I10" s="1" t="b">
        <v>0</v>
      </c>
      <c r="J10" s="1">
        <v>136</v>
      </c>
      <c r="K10" s="1" t="b">
        <v>1</v>
      </c>
    </row>
    <row r="11" spans="1:11">
      <c r="A11" s="1">
        <v>10</v>
      </c>
      <c r="B11" s="1">
        <v>36</v>
      </c>
      <c r="C11" s="1" t="s">
        <v>23</v>
      </c>
      <c r="D11" s="1">
        <v>84</v>
      </c>
      <c r="E11" s="1">
        <v>84</v>
      </c>
      <c r="F11" s="1" t="b">
        <v>0</v>
      </c>
      <c r="G11" s="1">
        <v>24.55</v>
      </c>
      <c r="H11" s="1" t="b">
        <v>0</v>
      </c>
      <c r="I11" s="1" t="b">
        <v>0</v>
      </c>
      <c r="J11" s="1">
        <v>121</v>
      </c>
      <c r="K11" s="1" t="b">
        <v>0</v>
      </c>
    </row>
    <row r="12" spans="1:11">
      <c r="A12" s="1">
        <v>11</v>
      </c>
      <c r="B12" s="1">
        <v>34.5</v>
      </c>
      <c r="C12" s="1" t="s">
        <v>22</v>
      </c>
      <c r="D12" s="1">
        <v>115</v>
      </c>
      <c r="E12" s="1">
        <v>86</v>
      </c>
      <c r="F12" s="1" t="b">
        <v>1</v>
      </c>
      <c r="G12" s="1">
        <v>24.95</v>
      </c>
      <c r="H12" s="1" t="b">
        <v>1</v>
      </c>
      <c r="I12" s="1" t="b">
        <v>0</v>
      </c>
      <c r="J12" s="1">
        <v>129</v>
      </c>
      <c r="K12" s="1" t="b">
        <v>0</v>
      </c>
    </row>
    <row r="13" spans="1:11">
      <c r="A13" s="1">
        <v>12</v>
      </c>
      <c r="B13" s="1">
        <v>29</v>
      </c>
      <c r="C13" s="1" t="s">
        <v>22</v>
      </c>
      <c r="D13" s="1">
        <v>94</v>
      </c>
      <c r="E13" s="1">
        <v>109</v>
      </c>
      <c r="F13" s="1" t="b">
        <v>0</v>
      </c>
      <c r="G13" s="1">
        <v>18.899999999999999</v>
      </c>
      <c r="H13" s="1" t="b">
        <v>1</v>
      </c>
      <c r="I13" s="1" t="b">
        <v>1</v>
      </c>
      <c r="J13" s="1">
        <v>108</v>
      </c>
      <c r="K13" s="1" t="b">
        <v>1</v>
      </c>
    </row>
    <row r="14" spans="1:11">
      <c r="A14" s="1">
        <v>13</v>
      </c>
      <c r="B14" s="1">
        <v>31.5</v>
      </c>
      <c r="C14" s="1" t="s">
        <v>22</v>
      </c>
      <c r="D14" s="1">
        <v>94</v>
      </c>
      <c r="E14" s="1">
        <v>115</v>
      </c>
      <c r="F14" s="1" t="b">
        <v>0</v>
      </c>
      <c r="G14" s="1">
        <v>24.95</v>
      </c>
      <c r="H14" s="1" t="b">
        <v>1</v>
      </c>
      <c r="I14" s="1" t="b">
        <v>0</v>
      </c>
      <c r="J14" s="1">
        <v>129</v>
      </c>
      <c r="K14" s="1" t="b">
        <v>1</v>
      </c>
    </row>
    <row r="15" spans="1:11">
      <c r="A15" s="1">
        <v>14</v>
      </c>
      <c r="B15" s="1">
        <v>27</v>
      </c>
      <c r="C15" s="1" t="s">
        <v>22</v>
      </c>
      <c r="D15" s="1">
        <v>87</v>
      </c>
      <c r="E15" s="1">
        <v>87</v>
      </c>
      <c r="F15" s="1" t="b">
        <v>0</v>
      </c>
      <c r="G15" s="1">
        <v>26.5</v>
      </c>
      <c r="H15" s="1" t="b">
        <v>0</v>
      </c>
      <c r="I15" s="1" t="b">
        <v>0</v>
      </c>
      <c r="J15" s="1">
        <v>100</v>
      </c>
      <c r="K15" s="1" t="b">
        <v>0</v>
      </c>
    </row>
    <row r="16" spans="1:11">
      <c r="A16" s="1">
        <v>15</v>
      </c>
      <c r="B16" s="1">
        <v>30.5</v>
      </c>
      <c r="C16" s="1" t="s">
        <v>23</v>
      </c>
      <c r="D16" s="1">
        <v>83</v>
      </c>
      <c r="E16" s="1">
        <v>91</v>
      </c>
      <c r="F16" s="1" t="b">
        <v>0</v>
      </c>
      <c r="G16" s="1">
        <v>26.4</v>
      </c>
      <c r="H16" s="1" t="b">
        <v>1</v>
      </c>
      <c r="I16" s="1" t="b">
        <v>1</v>
      </c>
      <c r="J16" s="1">
        <v>98</v>
      </c>
      <c r="K16" s="1" t="b">
        <v>1</v>
      </c>
    </row>
    <row r="17" spans="1:11">
      <c r="A17" s="1">
        <v>16</v>
      </c>
      <c r="B17" s="1">
        <v>33</v>
      </c>
      <c r="C17" s="1" t="s">
        <v>23</v>
      </c>
      <c r="D17" s="1">
        <v>133</v>
      </c>
      <c r="E17" s="1">
        <v>120</v>
      </c>
      <c r="F17" s="1" t="b">
        <v>1</v>
      </c>
      <c r="G17" s="1">
        <v>25.75</v>
      </c>
      <c r="H17" s="1" t="b">
        <v>1</v>
      </c>
      <c r="I17" s="1" t="b">
        <v>0</v>
      </c>
      <c r="J17" s="1">
        <v>105</v>
      </c>
      <c r="K17" s="1" t="b">
        <v>1</v>
      </c>
    </row>
    <row r="18" spans="1:11">
      <c r="A18" s="1">
        <v>17</v>
      </c>
      <c r="B18" s="1">
        <v>28.5</v>
      </c>
      <c r="C18" s="1" t="s">
        <v>23</v>
      </c>
      <c r="D18" s="1">
        <v>86</v>
      </c>
      <c r="E18" s="1">
        <v>100</v>
      </c>
      <c r="F18" s="1" t="b">
        <v>0</v>
      </c>
      <c r="G18" s="1">
        <v>22.9</v>
      </c>
      <c r="H18" s="1" t="b">
        <v>0</v>
      </c>
      <c r="I18" s="1" t="b">
        <v>1</v>
      </c>
      <c r="J18" s="1">
        <v>108</v>
      </c>
      <c r="K18" s="1" t="b">
        <v>0</v>
      </c>
    </row>
    <row r="19" spans="1:11">
      <c r="A19" s="1">
        <v>18</v>
      </c>
      <c r="B19" s="1">
        <v>32</v>
      </c>
      <c r="C19" s="1" t="s">
        <v>22</v>
      </c>
      <c r="D19" s="1">
        <v>135</v>
      </c>
      <c r="E19" s="1">
        <v>92</v>
      </c>
      <c r="F19" s="1" t="b">
        <v>0</v>
      </c>
      <c r="G19" s="1">
        <v>19.75</v>
      </c>
      <c r="H19" s="1" t="b">
        <v>0</v>
      </c>
      <c r="I19" s="1" t="b">
        <v>0</v>
      </c>
      <c r="J19" s="1">
        <v>125</v>
      </c>
      <c r="K19" s="1" t="b">
        <v>1</v>
      </c>
    </row>
    <row r="20" spans="1:11">
      <c r="A20" s="1">
        <v>19</v>
      </c>
      <c r="B20" s="1">
        <v>33.5</v>
      </c>
      <c r="C20" s="1" t="s">
        <v>22</v>
      </c>
      <c r="D20" s="1">
        <v>100</v>
      </c>
      <c r="E20" s="1">
        <v>116</v>
      </c>
      <c r="F20" s="1" t="b">
        <v>0</v>
      </c>
      <c r="G20" s="1">
        <v>20.45</v>
      </c>
      <c r="H20" s="1" t="b">
        <v>1</v>
      </c>
      <c r="I20" s="1" t="b">
        <v>1</v>
      </c>
      <c r="J20" s="1">
        <v>99</v>
      </c>
      <c r="K20" s="1" t="b">
        <v>0</v>
      </c>
    </row>
    <row r="21" spans="1:11">
      <c r="A21" s="1">
        <v>20</v>
      </c>
      <c r="B21" s="1">
        <v>42</v>
      </c>
      <c r="C21" s="1" t="s">
        <v>22</v>
      </c>
      <c r="D21" s="1">
        <v>114</v>
      </c>
      <c r="E21" s="1">
        <v>110</v>
      </c>
      <c r="F21" s="1" t="b">
        <v>1</v>
      </c>
      <c r="G21" s="1">
        <v>21.7</v>
      </c>
      <c r="H21" s="1" t="b">
        <v>1</v>
      </c>
      <c r="I21" s="1" t="b">
        <v>1</v>
      </c>
      <c r="J21" s="1">
        <v>104</v>
      </c>
      <c r="K21" s="1" t="b">
        <v>1</v>
      </c>
    </row>
    <row r="22" spans="1:11">
      <c r="A22" s="1">
        <v>21</v>
      </c>
      <c r="B22" s="1">
        <v>37.5</v>
      </c>
      <c r="C22" s="1" t="s">
        <v>22</v>
      </c>
      <c r="D22" s="1">
        <v>87</v>
      </c>
      <c r="E22" s="1">
        <v>111</v>
      </c>
      <c r="F22" s="1" t="b">
        <v>0</v>
      </c>
      <c r="G22" s="1">
        <v>24.05</v>
      </c>
      <c r="H22" s="1" t="b">
        <v>1</v>
      </c>
      <c r="I22" s="1" t="b">
        <v>0</v>
      </c>
      <c r="J22" s="1">
        <v>131</v>
      </c>
      <c r="K22" s="1" t="b">
        <v>1</v>
      </c>
    </row>
    <row r="23" spans="1:11">
      <c r="A23" s="1">
        <v>22</v>
      </c>
      <c r="B23" s="1">
        <v>41</v>
      </c>
      <c r="C23" s="1" t="s">
        <v>22</v>
      </c>
      <c r="D23" s="1">
        <v>112</v>
      </c>
      <c r="E23" s="1">
        <v>106</v>
      </c>
      <c r="F23" s="1" t="b">
        <v>1</v>
      </c>
      <c r="G23" s="1">
        <v>24.5</v>
      </c>
      <c r="H23" s="1" t="b">
        <v>1</v>
      </c>
      <c r="I23" s="1" t="b">
        <v>0</v>
      </c>
      <c r="J23" s="1">
        <v>120</v>
      </c>
      <c r="K23" s="1" t="b">
        <v>1</v>
      </c>
    </row>
    <row r="24" spans="1:11">
      <c r="A24" s="1">
        <v>23</v>
      </c>
      <c r="B24" s="1">
        <v>38.5</v>
      </c>
      <c r="C24" s="1" t="s">
        <v>22</v>
      </c>
      <c r="D24" s="1">
        <v>89</v>
      </c>
      <c r="E24" s="1">
        <v>123</v>
      </c>
      <c r="F24" s="1" t="b">
        <v>0</v>
      </c>
      <c r="G24" s="1">
        <v>19.3</v>
      </c>
      <c r="H24" s="1" t="b">
        <v>1</v>
      </c>
      <c r="I24" s="1" t="b">
        <v>0</v>
      </c>
      <c r="J24" s="1">
        <v>116</v>
      </c>
      <c r="K24" s="1" t="b">
        <v>1</v>
      </c>
    </row>
    <row r="25" spans="1:11">
      <c r="A25" s="1">
        <v>24</v>
      </c>
      <c r="B25" s="1">
        <v>37</v>
      </c>
      <c r="C25" s="1" t="s">
        <v>22</v>
      </c>
      <c r="D25" s="1">
        <v>66</v>
      </c>
      <c r="E25" s="1">
        <v>106</v>
      </c>
      <c r="F25" s="1" t="b">
        <v>0</v>
      </c>
      <c r="G25" s="1">
        <v>29.75</v>
      </c>
      <c r="H25" s="1" t="b">
        <v>0</v>
      </c>
      <c r="I25" s="1" t="b">
        <v>1</v>
      </c>
      <c r="J25" s="1">
        <v>125</v>
      </c>
      <c r="K25" s="1" t="b">
        <v>1</v>
      </c>
    </row>
    <row r="26" spans="1:11">
      <c r="A26" s="1">
        <v>25</v>
      </c>
      <c r="B26" s="1">
        <v>40.5</v>
      </c>
      <c r="C26" s="1" t="s">
        <v>23</v>
      </c>
      <c r="D26" s="1">
        <v>74</v>
      </c>
      <c r="E26" s="1">
        <v>90</v>
      </c>
      <c r="F26" s="1" t="b">
        <v>0</v>
      </c>
      <c r="G26" s="1">
        <v>19.399999999999999</v>
      </c>
      <c r="H26" s="1" t="b">
        <v>0</v>
      </c>
      <c r="I26" s="1" t="b">
        <v>1</v>
      </c>
      <c r="J26" s="1">
        <v>118</v>
      </c>
      <c r="K26" s="1" t="b">
        <v>1</v>
      </c>
    </row>
    <row r="27" spans="1:11">
      <c r="A27" s="1">
        <v>26</v>
      </c>
      <c r="B27" s="1">
        <v>44</v>
      </c>
      <c r="C27" s="1" t="s">
        <v>22</v>
      </c>
      <c r="D27" s="1">
        <v>76</v>
      </c>
      <c r="E27" s="1">
        <v>103</v>
      </c>
      <c r="F27" s="1" t="b">
        <v>0</v>
      </c>
      <c r="G27" s="1">
        <v>24.7</v>
      </c>
      <c r="H27" s="1" t="b">
        <v>1</v>
      </c>
      <c r="I27" s="1" t="b">
        <v>1</v>
      </c>
      <c r="J27" s="1">
        <v>104</v>
      </c>
      <c r="K27" s="1" t="b">
        <v>0</v>
      </c>
    </row>
    <row r="28" spans="1:11">
      <c r="A28" s="1">
        <v>27</v>
      </c>
      <c r="B28" s="1">
        <v>37.5</v>
      </c>
      <c r="C28" s="1" t="s">
        <v>22</v>
      </c>
      <c r="D28" s="1">
        <v>77</v>
      </c>
      <c r="E28" s="1">
        <v>100</v>
      </c>
      <c r="F28" s="1" t="b">
        <v>0</v>
      </c>
      <c r="G28" s="1">
        <v>23.55</v>
      </c>
      <c r="H28" s="1" t="b">
        <v>1</v>
      </c>
      <c r="I28" s="1" t="b">
        <v>1</v>
      </c>
      <c r="J28" s="1">
        <v>101</v>
      </c>
      <c r="K28" s="1" t="b">
        <v>1</v>
      </c>
    </row>
    <row r="29" spans="1:11">
      <c r="A29" s="1">
        <v>28</v>
      </c>
      <c r="B29" s="1">
        <v>40</v>
      </c>
      <c r="C29" s="1" t="s">
        <v>22</v>
      </c>
      <c r="D29" s="1">
        <v>85</v>
      </c>
      <c r="E29" s="1">
        <v>106</v>
      </c>
      <c r="F29" s="1" t="b">
        <v>0</v>
      </c>
      <c r="G29" s="1">
        <v>29.4</v>
      </c>
      <c r="H29" s="1" t="b">
        <v>0</v>
      </c>
      <c r="I29" s="1" t="b">
        <v>0</v>
      </c>
      <c r="J29" s="1">
        <v>118</v>
      </c>
      <c r="K29" s="1" t="b">
        <v>0</v>
      </c>
    </row>
    <row r="30" spans="1:11">
      <c r="A30" s="1">
        <v>29</v>
      </c>
      <c r="B30" s="1">
        <v>40.5</v>
      </c>
      <c r="C30" s="1" t="s">
        <v>22</v>
      </c>
      <c r="D30" s="1">
        <v>129</v>
      </c>
      <c r="E30" s="1">
        <v>122</v>
      </c>
      <c r="F30" s="1" t="b">
        <v>1</v>
      </c>
      <c r="G30" s="1">
        <v>23.15</v>
      </c>
      <c r="H30" s="1" t="b">
        <v>1</v>
      </c>
      <c r="I30" s="1" t="b">
        <v>1</v>
      </c>
      <c r="J30" s="1">
        <v>113</v>
      </c>
      <c r="K30" s="1" t="b">
        <v>0</v>
      </c>
    </row>
    <row r="31" spans="1:11">
      <c r="A31" s="1">
        <v>30</v>
      </c>
      <c r="B31" s="1">
        <v>44</v>
      </c>
      <c r="C31" s="1" t="s">
        <v>23</v>
      </c>
      <c r="D31" s="1">
        <v>87</v>
      </c>
      <c r="E31" s="1">
        <v>125</v>
      </c>
      <c r="F31" s="1" t="b">
        <v>0</v>
      </c>
      <c r="G31" s="1">
        <v>25.4</v>
      </c>
      <c r="H31" s="1" t="b">
        <v>1</v>
      </c>
      <c r="I31" s="1" t="b">
        <v>1</v>
      </c>
      <c r="J31" s="1">
        <v>138</v>
      </c>
      <c r="K31" s="1" t="b">
        <v>0</v>
      </c>
    </row>
    <row r="32" spans="1:11">
      <c r="A32" s="1">
        <v>31</v>
      </c>
      <c r="B32" s="1">
        <v>45.5</v>
      </c>
      <c r="C32" s="1" t="s">
        <v>23</v>
      </c>
      <c r="D32" s="1">
        <v>122</v>
      </c>
      <c r="E32" s="1">
        <v>115</v>
      </c>
      <c r="F32" s="1" t="b">
        <v>1</v>
      </c>
      <c r="G32" s="1">
        <v>27.7</v>
      </c>
      <c r="H32" s="1" t="b">
        <v>1</v>
      </c>
      <c r="I32" s="1" t="b">
        <v>1</v>
      </c>
      <c r="J32" s="1">
        <v>124</v>
      </c>
      <c r="K32" s="1" t="b">
        <v>1</v>
      </c>
    </row>
    <row r="33" spans="1:11">
      <c r="A33" s="1">
        <v>32</v>
      </c>
      <c r="B33" s="1">
        <v>45</v>
      </c>
      <c r="C33" s="1" t="s">
        <v>23</v>
      </c>
      <c r="D33" s="1">
        <v>66</v>
      </c>
      <c r="E33" s="1">
        <v>98</v>
      </c>
      <c r="F33" s="1" t="b">
        <v>0</v>
      </c>
      <c r="G33" s="1">
        <v>20.5</v>
      </c>
      <c r="H33" s="1" t="b">
        <v>0</v>
      </c>
      <c r="I33" s="1" t="b">
        <v>1</v>
      </c>
      <c r="J33" s="1">
        <v>120</v>
      </c>
      <c r="K33" s="1" t="b">
        <v>1</v>
      </c>
    </row>
    <row r="34" spans="1:11">
      <c r="A34" s="1">
        <v>33</v>
      </c>
      <c r="B34" s="1">
        <v>38.5</v>
      </c>
      <c r="C34" s="1" t="s">
        <v>22</v>
      </c>
      <c r="D34" s="1">
        <v>101</v>
      </c>
      <c r="E34" s="1">
        <v>107</v>
      </c>
      <c r="F34" s="1" t="b">
        <v>0</v>
      </c>
      <c r="G34" s="1">
        <v>26.15</v>
      </c>
      <c r="H34" s="1" t="b">
        <v>1</v>
      </c>
      <c r="I34" s="1" t="b">
        <v>1</v>
      </c>
      <c r="J34" s="1">
        <v>133</v>
      </c>
      <c r="K34" s="1" t="b">
        <v>1</v>
      </c>
    </row>
    <row r="35" spans="1:11">
      <c r="A35" s="1">
        <v>34</v>
      </c>
      <c r="B35" s="1">
        <v>44</v>
      </c>
      <c r="C35" s="1" t="s">
        <v>23</v>
      </c>
      <c r="D35" s="1">
        <v>114</v>
      </c>
      <c r="E35" s="1">
        <v>93</v>
      </c>
      <c r="F35" s="1" t="b">
        <v>1</v>
      </c>
      <c r="G35" s="1">
        <v>22.05</v>
      </c>
      <c r="H35" s="1" t="b">
        <v>1</v>
      </c>
      <c r="I35" s="1" t="b">
        <v>1</v>
      </c>
      <c r="J35" s="1">
        <v>131</v>
      </c>
      <c r="K35" s="1" t="b">
        <v>1</v>
      </c>
    </row>
    <row r="36" spans="1:11">
      <c r="A36" s="1">
        <v>35</v>
      </c>
      <c r="B36" s="1">
        <v>49.5</v>
      </c>
      <c r="C36" s="1" t="s">
        <v>22</v>
      </c>
      <c r="D36" s="1">
        <v>124</v>
      </c>
      <c r="E36" s="1">
        <v>128</v>
      </c>
      <c r="F36" s="1" t="b">
        <v>1</v>
      </c>
      <c r="G36" s="1">
        <v>26.9</v>
      </c>
      <c r="H36" s="1" t="b">
        <v>1</v>
      </c>
      <c r="I36" s="1" t="b">
        <v>1</v>
      </c>
      <c r="J36" s="1">
        <v>128</v>
      </c>
      <c r="K36" s="1" t="b">
        <v>1</v>
      </c>
    </row>
    <row r="37" spans="1:11">
      <c r="A37" s="1">
        <v>36</v>
      </c>
      <c r="B37" s="1">
        <v>47</v>
      </c>
      <c r="C37" s="1" t="s">
        <v>22</v>
      </c>
      <c r="D37" s="1">
        <v>95</v>
      </c>
      <c r="E37" s="1">
        <v>92</v>
      </c>
      <c r="F37" s="1" t="b">
        <v>0</v>
      </c>
      <c r="G37" s="1">
        <v>22.45</v>
      </c>
      <c r="H37" s="1" t="b">
        <v>1</v>
      </c>
      <c r="I37" s="1" t="b">
        <v>0</v>
      </c>
      <c r="J37" s="1">
        <v>139</v>
      </c>
      <c r="K37" s="1" t="b">
        <v>1</v>
      </c>
    </row>
    <row r="38" spans="1:11">
      <c r="A38" s="1">
        <v>37</v>
      </c>
      <c r="B38" s="1">
        <v>45.5</v>
      </c>
      <c r="C38" s="1" t="s">
        <v>23</v>
      </c>
      <c r="D38" s="1">
        <v>79</v>
      </c>
      <c r="E38" s="1">
        <v>94</v>
      </c>
      <c r="F38" s="1" t="b">
        <v>0</v>
      </c>
      <c r="G38" s="1">
        <v>28.9</v>
      </c>
      <c r="H38" s="1" t="b">
        <v>0</v>
      </c>
      <c r="I38" s="1" t="b">
        <v>1</v>
      </c>
      <c r="J38" s="1">
        <v>128</v>
      </c>
      <c r="K38" s="1" t="b">
        <v>0</v>
      </c>
    </row>
    <row r="39" spans="1:11">
      <c r="A39" s="1">
        <v>38</v>
      </c>
      <c r="B39" s="1">
        <v>49</v>
      </c>
      <c r="C39" s="1" t="s">
        <v>22</v>
      </c>
      <c r="D39" s="1">
        <v>140</v>
      </c>
      <c r="E39" s="1">
        <v>97</v>
      </c>
      <c r="F39" s="1" t="b">
        <v>1</v>
      </c>
      <c r="G39" s="1">
        <v>20.399999999999999</v>
      </c>
      <c r="H39" s="1" t="b">
        <v>0</v>
      </c>
      <c r="I39" s="1" t="b">
        <v>0</v>
      </c>
      <c r="J39" s="1">
        <v>138</v>
      </c>
      <c r="K39" s="1" t="b">
        <v>1</v>
      </c>
    </row>
    <row r="40" spans="1:11">
      <c r="A40" s="1">
        <v>39</v>
      </c>
      <c r="B40" s="1">
        <v>45.5</v>
      </c>
      <c r="C40" s="1" t="s">
        <v>23</v>
      </c>
      <c r="D40" s="1">
        <v>143</v>
      </c>
      <c r="E40" s="1">
        <v>92</v>
      </c>
      <c r="F40" s="1" t="b">
        <v>1</v>
      </c>
      <c r="G40" s="1">
        <v>21.3</v>
      </c>
      <c r="H40" s="1" t="b">
        <v>0</v>
      </c>
      <c r="I40" s="1" t="b">
        <v>0</v>
      </c>
      <c r="J40" s="1">
        <v>136</v>
      </c>
      <c r="K40" s="1" t="b">
        <v>0</v>
      </c>
    </row>
    <row r="41" spans="1:11">
      <c r="A41" s="1">
        <v>40</v>
      </c>
      <c r="B41" s="1">
        <v>48</v>
      </c>
      <c r="C41" s="1" t="s">
        <v>23</v>
      </c>
      <c r="D41" s="1">
        <v>125</v>
      </c>
      <c r="E41" s="1">
        <v>104</v>
      </c>
      <c r="F41" s="1" t="b">
        <v>1</v>
      </c>
      <c r="G41" s="1">
        <v>30.25</v>
      </c>
      <c r="H41" s="1" t="b">
        <v>1</v>
      </c>
      <c r="I41" s="1" t="b">
        <v>1</v>
      </c>
      <c r="J41" s="1">
        <v>135</v>
      </c>
      <c r="K41" s="1" t="b">
        <v>0</v>
      </c>
    </row>
    <row r="42" spans="1:11">
      <c r="A42" s="1">
        <v>41</v>
      </c>
      <c r="B42" s="1">
        <v>43.5</v>
      </c>
      <c r="C42" s="1" t="s">
        <v>23</v>
      </c>
      <c r="D42" s="1">
        <v>123</v>
      </c>
      <c r="E42" s="1">
        <v>97</v>
      </c>
      <c r="F42" s="1" t="b">
        <v>0</v>
      </c>
      <c r="G42" s="1">
        <v>26.9</v>
      </c>
      <c r="H42" s="1" t="b">
        <v>1</v>
      </c>
      <c r="I42" s="1" t="b">
        <v>0</v>
      </c>
      <c r="J42" s="1">
        <v>128</v>
      </c>
      <c r="K42" s="1" t="b">
        <v>1</v>
      </c>
    </row>
    <row r="43" spans="1:11">
      <c r="A43" s="1">
        <v>42</v>
      </c>
      <c r="B43" s="1">
        <v>55</v>
      </c>
      <c r="C43" s="1" t="s">
        <v>23</v>
      </c>
      <c r="D43" s="1">
        <v>128</v>
      </c>
      <c r="E43" s="1">
        <v>113</v>
      </c>
      <c r="F43" s="1" t="b">
        <v>1</v>
      </c>
      <c r="G43" s="1">
        <v>22.05</v>
      </c>
      <c r="H43" s="1" t="b">
        <v>1</v>
      </c>
      <c r="I43" s="1" t="b">
        <v>0</v>
      </c>
      <c r="J43" s="1">
        <v>111</v>
      </c>
      <c r="K43" s="1" t="b">
        <v>1</v>
      </c>
    </row>
    <row r="44" spans="1:11">
      <c r="A44" s="1">
        <v>43</v>
      </c>
      <c r="B44" s="1">
        <v>44.5</v>
      </c>
      <c r="C44" s="1" t="s">
        <v>22</v>
      </c>
      <c r="D44" s="1">
        <v>113</v>
      </c>
      <c r="E44" s="1">
        <v>88</v>
      </c>
      <c r="F44" s="1" t="b">
        <v>0</v>
      </c>
      <c r="G44" s="1">
        <v>20.3</v>
      </c>
      <c r="H44" s="1" t="b">
        <v>1</v>
      </c>
      <c r="I44" s="1" t="b">
        <v>0</v>
      </c>
      <c r="J44" s="1">
        <v>136</v>
      </c>
      <c r="K44" s="1" t="b">
        <v>0</v>
      </c>
    </row>
    <row r="45" spans="1:11">
      <c r="A45" s="1">
        <v>44</v>
      </c>
      <c r="B45" s="1">
        <v>56</v>
      </c>
      <c r="C45" s="1" t="s">
        <v>22</v>
      </c>
      <c r="D45" s="1">
        <v>100</v>
      </c>
      <c r="E45" s="1">
        <v>120</v>
      </c>
      <c r="F45" s="1" t="b">
        <v>0</v>
      </c>
      <c r="G45" s="1">
        <v>29.4</v>
      </c>
      <c r="H45" s="1" t="b">
        <v>1</v>
      </c>
      <c r="I45" s="1" t="b">
        <v>0</v>
      </c>
      <c r="J45" s="1">
        <v>138</v>
      </c>
      <c r="K45" s="1" t="b">
        <v>1</v>
      </c>
    </row>
    <row r="46" spans="1:11">
      <c r="A46" s="1">
        <v>45</v>
      </c>
      <c r="B46" s="1">
        <v>47.5</v>
      </c>
      <c r="C46" s="1" t="s">
        <v>23</v>
      </c>
      <c r="D46" s="1">
        <v>104</v>
      </c>
      <c r="E46" s="1">
        <v>107</v>
      </c>
      <c r="F46" s="1" t="b">
        <v>0</v>
      </c>
      <c r="G46" s="1">
        <v>19.75</v>
      </c>
      <c r="H46" s="1" t="b">
        <v>1</v>
      </c>
      <c r="I46" s="1" t="b">
        <v>1</v>
      </c>
      <c r="J46" s="1">
        <v>125</v>
      </c>
      <c r="K46" s="1" t="b">
        <v>1</v>
      </c>
    </row>
    <row r="47" spans="1:11">
      <c r="A47" s="1">
        <v>46</v>
      </c>
      <c r="B47" s="1">
        <v>51</v>
      </c>
      <c r="C47" s="1" t="s">
        <v>23</v>
      </c>
      <c r="D47" s="1">
        <v>102</v>
      </c>
      <c r="E47" s="1">
        <v>108</v>
      </c>
      <c r="F47" s="1" t="b">
        <v>0</v>
      </c>
      <c r="G47" s="1">
        <v>23.45</v>
      </c>
      <c r="H47" s="1" t="b">
        <v>1</v>
      </c>
      <c r="I47" s="1" t="b">
        <v>1</v>
      </c>
      <c r="J47" s="1">
        <v>119</v>
      </c>
      <c r="K47" s="1" t="b">
        <v>1</v>
      </c>
    </row>
    <row r="48" spans="1:11">
      <c r="A48" s="1">
        <v>47</v>
      </c>
      <c r="B48" s="1">
        <v>54.5</v>
      </c>
      <c r="C48" s="1" t="s">
        <v>23</v>
      </c>
      <c r="D48" s="1">
        <v>145</v>
      </c>
      <c r="E48" s="1">
        <v>124</v>
      </c>
      <c r="F48" s="1" t="b">
        <v>1</v>
      </c>
      <c r="G48" s="1">
        <v>24.25</v>
      </c>
      <c r="H48" s="1" t="b">
        <v>1</v>
      </c>
      <c r="I48" s="1" t="b">
        <v>1</v>
      </c>
      <c r="J48" s="1">
        <v>115</v>
      </c>
      <c r="K48" s="1" t="b">
        <v>1</v>
      </c>
    </row>
    <row r="49" spans="1:11">
      <c r="A49" s="1">
        <v>48</v>
      </c>
      <c r="B49" s="1">
        <v>49</v>
      </c>
      <c r="C49" s="1" t="s">
        <v>22</v>
      </c>
      <c r="D49" s="1">
        <v>125</v>
      </c>
      <c r="E49" s="1">
        <v>116</v>
      </c>
      <c r="F49" s="1" t="b">
        <v>1</v>
      </c>
      <c r="G49" s="1">
        <v>28.6</v>
      </c>
      <c r="H49" s="1" t="b">
        <v>0</v>
      </c>
      <c r="I49" s="1" t="b">
        <v>0</v>
      </c>
      <c r="J49" s="1">
        <v>142</v>
      </c>
      <c r="K49" s="1" t="b">
        <v>0</v>
      </c>
    </row>
    <row r="50" spans="1:11">
      <c r="A50" s="1">
        <v>49</v>
      </c>
      <c r="B50" s="1">
        <v>55.5</v>
      </c>
      <c r="C50" s="1" t="s">
        <v>22</v>
      </c>
      <c r="D50" s="1">
        <v>77</v>
      </c>
      <c r="E50" s="1">
        <v>128</v>
      </c>
      <c r="F50" s="1" t="b">
        <v>0</v>
      </c>
      <c r="G50" s="1">
        <v>25.85</v>
      </c>
      <c r="H50" s="1" t="b">
        <v>1</v>
      </c>
      <c r="I50" s="1" t="b">
        <v>1</v>
      </c>
      <c r="J50" s="1">
        <v>147</v>
      </c>
      <c r="K50" s="1" t="b">
        <v>1</v>
      </c>
    </row>
    <row r="51" spans="1:11">
      <c r="A51" s="1">
        <v>50</v>
      </c>
      <c r="B51" s="1">
        <v>49</v>
      </c>
      <c r="C51" s="1" t="s">
        <v>22</v>
      </c>
      <c r="D51" s="1">
        <v>96</v>
      </c>
      <c r="E51" s="1">
        <v>106</v>
      </c>
      <c r="F51" s="1" t="b">
        <v>0</v>
      </c>
      <c r="G51" s="1">
        <v>25.5</v>
      </c>
      <c r="H51" s="1" t="b">
        <v>1</v>
      </c>
      <c r="I51" s="1" t="b">
        <v>1</v>
      </c>
      <c r="J51" s="1">
        <v>140</v>
      </c>
      <c r="K51" s="1" t="b">
        <v>1</v>
      </c>
    </row>
    <row r="52" spans="1:11">
      <c r="A52" s="1">
        <v>51</v>
      </c>
      <c r="B52" s="1">
        <v>53.5</v>
      </c>
      <c r="C52" s="1" t="s">
        <v>22</v>
      </c>
      <c r="D52" s="1">
        <v>80</v>
      </c>
      <c r="E52" s="1">
        <v>129</v>
      </c>
      <c r="F52" s="1" t="b">
        <v>0</v>
      </c>
      <c r="G52" s="1">
        <v>28.2</v>
      </c>
      <c r="H52" s="1" t="b">
        <v>0</v>
      </c>
      <c r="I52" s="1" t="b">
        <v>1</v>
      </c>
      <c r="J52" s="1">
        <v>114</v>
      </c>
      <c r="K52" s="1" t="b">
        <v>0</v>
      </c>
    </row>
    <row r="53" spans="1:11">
      <c r="A53" s="1">
        <v>52</v>
      </c>
      <c r="B53" s="1">
        <v>56</v>
      </c>
      <c r="C53" s="1" t="s">
        <v>23</v>
      </c>
      <c r="D53" s="1">
        <v>95</v>
      </c>
      <c r="E53" s="1">
        <v>133</v>
      </c>
      <c r="F53" s="1" t="b">
        <v>0</v>
      </c>
      <c r="G53" s="1">
        <v>27</v>
      </c>
      <c r="H53" s="1" t="b">
        <v>1</v>
      </c>
      <c r="I53" s="1" t="b">
        <v>1</v>
      </c>
      <c r="J53" s="1">
        <v>130</v>
      </c>
      <c r="K53" s="1" t="b">
        <v>1</v>
      </c>
    </row>
    <row r="54" spans="1:11">
      <c r="A54" s="1">
        <v>53</v>
      </c>
      <c r="B54" s="1">
        <v>51.5</v>
      </c>
      <c r="C54" s="1" t="s">
        <v>22</v>
      </c>
      <c r="D54" s="1">
        <v>144</v>
      </c>
      <c r="E54" s="1">
        <v>124</v>
      </c>
      <c r="F54" s="1" t="b">
        <v>1</v>
      </c>
      <c r="G54" s="1">
        <v>24.4</v>
      </c>
      <c r="H54" s="1" t="b">
        <v>0</v>
      </c>
      <c r="I54" s="1" t="b">
        <v>0</v>
      </c>
      <c r="J54" s="1">
        <v>138</v>
      </c>
      <c r="K54" s="1" t="b">
        <v>1</v>
      </c>
    </row>
    <row r="55" spans="1:11">
      <c r="A55" s="1">
        <v>54</v>
      </c>
      <c r="B55" s="1">
        <v>55</v>
      </c>
      <c r="C55" s="1" t="s">
        <v>22</v>
      </c>
      <c r="D55" s="1">
        <v>134</v>
      </c>
      <c r="E55" s="1">
        <v>113</v>
      </c>
      <c r="F55" s="1" t="b">
        <v>1</v>
      </c>
      <c r="G55" s="1">
        <v>27.5</v>
      </c>
      <c r="H55" s="1" t="b">
        <v>1</v>
      </c>
      <c r="I55" s="1" t="b">
        <v>0</v>
      </c>
      <c r="J55" s="1">
        <v>120</v>
      </c>
      <c r="K55" s="1" t="b">
        <v>0</v>
      </c>
    </row>
    <row r="56" spans="1:11">
      <c r="A56" s="1">
        <v>55</v>
      </c>
      <c r="B56" s="1">
        <v>62.5</v>
      </c>
      <c r="C56" s="1" t="s">
        <v>23</v>
      </c>
      <c r="D56" s="1">
        <v>89</v>
      </c>
      <c r="E56" s="1">
        <v>99</v>
      </c>
      <c r="F56" s="1" t="b">
        <v>0</v>
      </c>
      <c r="G56" s="1">
        <v>28.7</v>
      </c>
      <c r="H56" s="1" t="b">
        <v>0</v>
      </c>
      <c r="I56" s="1" t="b">
        <v>1</v>
      </c>
      <c r="J56" s="1">
        <v>144</v>
      </c>
      <c r="K56" s="1" t="b">
        <v>0</v>
      </c>
    </row>
    <row r="57" spans="1:11">
      <c r="A57" s="1">
        <v>56</v>
      </c>
      <c r="B57" s="1">
        <v>58</v>
      </c>
      <c r="C57" s="1" t="s">
        <v>22</v>
      </c>
      <c r="D57" s="1">
        <v>149</v>
      </c>
      <c r="E57" s="1">
        <v>103</v>
      </c>
      <c r="F57" s="1" t="b">
        <v>1</v>
      </c>
      <c r="G57" s="1">
        <v>24.1</v>
      </c>
      <c r="H57" s="1" t="b">
        <v>1</v>
      </c>
      <c r="I57" s="1" t="b">
        <v>1</v>
      </c>
      <c r="J57" s="1">
        <v>132</v>
      </c>
      <c r="K57" s="1" t="b">
        <v>1</v>
      </c>
    </row>
    <row r="58" spans="1:11">
      <c r="A58" s="1">
        <v>57</v>
      </c>
      <c r="B58" s="1">
        <v>57.5</v>
      </c>
      <c r="C58" s="1" t="s">
        <v>22</v>
      </c>
      <c r="D58" s="1">
        <v>107</v>
      </c>
      <c r="E58" s="1">
        <v>97</v>
      </c>
      <c r="F58" s="1" t="b">
        <v>0</v>
      </c>
      <c r="G58" s="1">
        <v>29.85</v>
      </c>
      <c r="H58" s="1" t="b">
        <v>1</v>
      </c>
      <c r="I58" s="1" t="b">
        <v>1</v>
      </c>
      <c r="J58" s="1">
        <v>127</v>
      </c>
      <c r="K58" s="1" t="b">
        <v>1</v>
      </c>
    </row>
    <row r="59" spans="1:11">
      <c r="A59" s="1">
        <v>58</v>
      </c>
      <c r="B59" s="1">
        <v>59</v>
      </c>
      <c r="C59" s="1" t="s">
        <v>23</v>
      </c>
      <c r="D59" s="1">
        <v>100</v>
      </c>
      <c r="E59" s="1">
        <v>98</v>
      </c>
      <c r="F59" s="1" t="b">
        <v>0</v>
      </c>
      <c r="G59" s="1">
        <v>30.95</v>
      </c>
      <c r="H59" s="1" t="b">
        <v>1</v>
      </c>
      <c r="I59" s="1" t="b">
        <v>0</v>
      </c>
      <c r="J59" s="1">
        <v>149</v>
      </c>
      <c r="K59" s="1" t="b">
        <v>0</v>
      </c>
    </row>
    <row r="60" spans="1:11">
      <c r="A60" s="1">
        <v>59</v>
      </c>
      <c r="B60" s="1">
        <v>57.5</v>
      </c>
      <c r="C60" s="1" t="s">
        <v>22</v>
      </c>
      <c r="D60" s="1">
        <v>118</v>
      </c>
      <c r="E60" s="1">
        <v>108</v>
      </c>
      <c r="F60" s="1" t="b">
        <v>1</v>
      </c>
      <c r="G60" s="1">
        <v>24.5</v>
      </c>
      <c r="H60" s="1" t="b">
        <v>1</v>
      </c>
      <c r="I60" s="1" t="b">
        <v>0</v>
      </c>
      <c r="J60" s="1">
        <v>120</v>
      </c>
      <c r="K60" s="1" t="b">
        <v>0</v>
      </c>
    </row>
    <row r="61" spans="1:11">
      <c r="A61" s="1">
        <v>60</v>
      </c>
      <c r="B61" s="1">
        <v>56</v>
      </c>
      <c r="C61" s="1" t="s">
        <v>23</v>
      </c>
      <c r="D61" s="1">
        <v>119</v>
      </c>
      <c r="E61" s="1">
        <v>119</v>
      </c>
      <c r="F61" s="1" t="b">
        <v>1</v>
      </c>
      <c r="G61" s="1">
        <v>22.5</v>
      </c>
      <c r="H61" s="1" t="b">
        <v>1</v>
      </c>
      <c r="I61" s="1" t="b">
        <v>1</v>
      </c>
      <c r="J61" s="1">
        <v>140</v>
      </c>
      <c r="K61" s="1" t="b">
        <v>1</v>
      </c>
    </row>
    <row r="62" spans="1:11">
      <c r="A62" s="1">
        <v>61</v>
      </c>
      <c r="B62" s="1">
        <v>60.5</v>
      </c>
      <c r="C62" s="1" t="s">
        <v>23</v>
      </c>
      <c r="D62" s="1">
        <v>121</v>
      </c>
      <c r="E62" s="1">
        <v>107</v>
      </c>
      <c r="F62" s="1" t="b">
        <v>1</v>
      </c>
      <c r="G62" s="1">
        <v>27.05</v>
      </c>
      <c r="H62" s="1" t="b">
        <v>1</v>
      </c>
      <c r="I62" s="1" t="b">
        <v>0</v>
      </c>
      <c r="J62" s="1">
        <v>131</v>
      </c>
      <c r="K62" s="1" t="b">
        <v>0</v>
      </c>
    </row>
    <row r="63" spans="1:11">
      <c r="A63" s="1">
        <v>62</v>
      </c>
      <c r="B63" s="1">
        <v>58</v>
      </c>
      <c r="C63" s="1" t="s">
        <v>22</v>
      </c>
      <c r="D63" s="1">
        <v>94</v>
      </c>
      <c r="E63" s="1">
        <v>119</v>
      </c>
      <c r="F63" s="1" t="b">
        <v>0</v>
      </c>
      <c r="G63" s="1">
        <v>19.95</v>
      </c>
      <c r="H63" s="1" t="b">
        <v>0</v>
      </c>
      <c r="I63" s="1" t="b">
        <v>1</v>
      </c>
      <c r="J63" s="1">
        <v>109</v>
      </c>
      <c r="K63" s="1" t="b">
        <v>0</v>
      </c>
    </row>
    <row r="64" spans="1:11">
      <c r="A64" s="1">
        <v>63</v>
      </c>
      <c r="B64" s="1">
        <v>64.5</v>
      </c>
      <c r="C64" s="1" t="s">
        <v>22</v>
      </c>
      <c r="D64" s="1">
        <v>117</v>
      </c>
      <c r="E64" s="1">
        <v>122</v>
      </c>
      <c r="F64" s="1" t="b">
        <v>1</v>
      </c>
      <c r="G64" s="1">
        <v>25.95</v>
      </c>
      <c r="H64" s="1" t="b">
        <v>1</v>
      </c>
      <c r="I64" s="1" t="b">
        <v>1</v>
      </c>
      <c r="J64" s="1">
        <v>129</v>
      </c>
      <c r="K64" s="1" t="b">
        <v>1</v>
      </c>
    </row>
    <row r="65" spans="1:11">
      <c r="A65" s="1">
        <v>64</v>
      </c>
      <c r="B65" s="1">
        <v>66</v>
      </c>
      <c r="C65" s="1" t="s">
        <v>22</v>
      </c>
      <c r="D65" s="1">
        <v>151</v>
      </c>
      <c r="E65" s="1">
        <v>127</v>
      </c>
      <c r="F65" s="1" t="b">
        <v>1</v>
      </c>
      <c r="G65" s="1">
        <v>29.15</v>
      </c>
      <c r="H65" s="1" t="b">
        <v>1</v>
      </c>
      <c r="I65" s="1" t="b">
        <v>1</v>
      </c>
      <c r="J65" s="1">
        <v>113</v>
      </c>
      <c r="K65" s="1" t="b">
        <v>1</v>
      </c>
    </row>
    <row r="66" spans="1:11">
      <c r="A66" s="1">
        <v>65</v>
      </c>
      <c r="B66" s="1">
        <v>63.5</v>
      </c>
      <c r="C66" s="1" t="s">
        <v>23</v>
      </c>
      <c r="D66" s="1">
        <v>111</v>
      </c>
      <c r="E66" s="1">
        <v>121</v>
      </c>
      <c r="F66" s="1" t="b">
        <v>1</v>
      </c>
      <c r="G66" s="1">
        <v>28.8</v>
      </c>
      <c r="H66" s="1" t="b">
        <v>1</v>
      </c>
      <c r="I66" s="1" t="b">
        <v>1</v>
      </c>
      <c r="J66" s="1">
        <v>126</v>
      </c>
      <c r="K66" s="1" t="b">
        <v>1</v>
      </c>
    </row>
    <row r="67" spans="1:11">
      <c r="A67" s="1">
        <v>66</v>
      </c>
      <c r="B67" s="1">
        <v>60</v>
      </c>
      <c r="C67" s="1" t="s">
        <v>22</v>
      </c>
      <c r="D67" s="1">
        <v>104</v>
      </c>
      <c r="E67" s="1">
        <v>135</v>
      </c>
      <c r="F67" s="1" t="b">
        <v>0</v>
      </c>
      <c r="G67" s="1">
        <v>21.1</v>
      </c>
      <c r="H67" s="1" t="b">
        <v>1</v>
      </c>
      <c r="I67" s="1" t="b">
        <v>1</v>
      </c>
      <c r="J67" s="1">
        <v>132</v>
      </c>
      <c r="K67" s="1" t="b">
        <v>0</v>
      </c>
    </row>
    <row r="68" spans="1:11">
      <c r="A68" s="1">
        <v>67</v>
      </c>
      <c r="B68" s="1">
        <v>65.5</v>
      </c>
      <c r="C68" s="1" t="s">
        <v>22</v>
      </c>
      <c r="D68" s="1">
        <v>152</v>
      </c>
      <c r="E68" s="1">
        <v>114</v>
      </c>
      <c r="F68" s="1" t="b">
        <v>1</v>
      </c>
      <c r="G68" s="1">
        <v>23.2</v>
      </c>
      <c r="H68" s="1" t="b">
        <v>1</v>
      </c>
      <c r="I68" s="1" t="b">
        <v>0</v>
      </c>
      <c r="J68" s="1">
        <v>114</v>
      </c>
      <c r="K68" s="1" t="b">
        <v>0</v>
      </c>
    </row>
    <row r="69" spans="1:11">
      <c r="A69" s="1">
        <v>68</v>
      </c>
      <c r="B69" s="1">
        <v>66</v>
      </c>
      <c r="C69" s="1" t="s">
        <v>23</v>
      </c>
      <c r="D69" s="1">
        <v>94</v>
      </c>
      <c r="E69" s="1">
        <v>121</v>
      </c>
      <c r="F69" s="1" t="b">
        <v>0</v>
      </c>
      <c r="G69" s="1">
        <v>20.8</v>
      </c>
      <c r="H69" s="1" t="b">
        <v>1</v>
      </c>
      <c r="I69" s="1" t="b">
        <v>1</v>
      </c>
      <c r="J69" s="1">
        <v>146</v>
      </c>
      <c r="K69" s="1" t="b">
        <v>0</v>
      </c>
    </row>
    <row r="70" spans="1:11">
      <c r="A70" s="1">
        <v>69</v>
      </c>
      <c r="B70" s="1">
        <v>69.5</v>
      </c>
      <c r="C70" s="1" t="s">
        <v>22</v>
      </c>
      <c r="D70" s="1">
        <v>148</v>
      </c>
      <c r="E70" s="1">
        <v>127</v>
      </c>
      <c r="F70" s="1" t="b">
        <v>0</v>
      </c>
      <c r="G70" s="1">
        <v>25.05</v>
      </c>
      <c r="H70" s="1" t="b">
        <v>1</v>
      </c>
      <c r="I70" s="1" t="b">
        <v>0</v>
      </c>
      <c r="J70" s="1">
        <v>151</v>
      </c>
      <c r="K70" s="1" t="b">
        <v>0</v>
      </c>
    </row>
    <row r="71" spans="1:11">
      <c r="A71" s="1">
        <v>70</v>
      </c>
      <c r="B71" s="1">
        <v>64</v>
      </c>
      <c r="C71" s="1" t="s">
        <v>22</v>
      </c>
      <c r="D71" s="1">
        <v>101</v>
      </c>
      <c r="E71" s="1">
        <v>109</v>
      </c>
      <c r="F71" s="1" t="b">
        <v>0</v>
      </c>
      <c r="G71" s="1">
        <v>22.15</v>
      </c>
      <c r="H71" s="1" t="b">
        <v>0</v>
      </c>
      <c r="I71" s="1" t="b">
        <v>1</v>
      </c>
      <c r="J71" s="1">
        <v>113</v>
      </c>
      <c r="K71" s="1" t="b">
        <v>0</v>
      </c>
    </row>
    <row r="72" spans="1:11">
      <c r="A72" s="1">
        <v>71</v>
      </c>
      <c r="B72" s="1">
        <v>62.5</v>
      </c>
      <c r="C72" s="1" t="s">
        <v>23</v>
      </c>
      <c r="D72" s="1">
        <v>114</v>
      </c>
      <c r="E72" s="1">
        <v>127</v>
      </c>
      <c r="F72" s="1" t="b">
        <v>1</v>
      </c>
      <c r="G72" s="1">
        <v>30.4</v>
      </c>
      <c r="H72" s="1" t="b">
        <v>1</v>
      </c>
      <c r="I72" s="1" t="b">
        <v>1</v>
      </c>
      <c r="J72" s="1">
        <v>138</v>
      </c>
      <c r="K72" s="1" t="b">
        <v>0</v>
      </c>
    </row>
    <row r="73" spans="1:11">
      <c r="A73" s="1">
        <v>72</v>
      </c>
      <c r="B73" s="1">
        <v>70</v>
      </c>
      <c r="C73" s="1" t="s">
        <v>22</v>
      </c>
      <c r="D73" s="1">
        <v>131</v>
      </c>
      <c r="E73" s="1">
        <v>138</v>
      </c>
      <c r="F73" s="1" t="b">
        <v>1</v>
      </c>
      <c r="G73" s="1">
        <v>21.4</v>
      </c>
      <c r="H73" s="1" t="b">
        <v>1</v>
      </c>
      <c r="I73" s="1" t="b">
        <v>0</v>
      </c>
      <c r="J73" s="1">
        <v>118</v>
      </c>
      <c r="K73" s="1" t="b">
        <v>1</v>
      </c>
    </row>
    <row r="74" spans="1:11">
      <c r="A74" s="1">
        <v>73</v>
      </c>
      <c r="B74" s="1">
        <v>70.5</v>
      </c>
      <c r="C74" s="1" t="s">
        <v>22</v>
      </c>
      <c r="D74" s="1">
        <v>163</v>
      </c>
      <c r="E74" s="1">
        <v>107</v>
      </c>
      <c r="F74" s="1" t="b">
        <v>0</v>
      </c>
      <c r="G74" s="1">
        <v>30.6</v>
      </c>
      <c r="H74" s="1" t="b">
        <v>1</v>
      </c>
      <c r="I74" s="1" t="b">
        <v>1</v>
      </c>
      <c r="J74" s="1">
        <v>142</v>
      </c>
      <c r="K74" s="1" t="b">
        <v>0</v>
      </c>
    </row>
    <row r="75" spans="1:11">
      <c r="A75" s="1">
        <v>74</v>
      </c>
      <c r="B75" s="1">
        <v>69</v>
      </c>
      <c r="C75" s="1" t="s">
        <v>23</v>
      </c>
      <c r="D75" s="1">
        <v>89</v>
      </c>
      <c r="E75" s="1">
        <v>114</v>
      </c>
      <c r="F75" s="1" t="b">
        <v>0</v>
      </c>
      <c r="G75" s="1">
        <v>24.75</v>
      </c>
      <c r="H75" s="1" t="b">
        <v>0</v>
      </c>
      <c r="I75" s="1" t="b">
        <v>1</v>
      </c>
      <c r="J75" s="1">
        <v>145</v>
      </c>
      <c r="K75" s="1" t="b">
        <v>1</v>
      </c>
    </row>
    <row r="76" spans="1:11">
      <c r="A76" s="1">
        <v>75</v>
      </c>
      <c r="B76" s="1">
        <v>71.5</v>
      </c>
      <c r="C76" s="1" t="s">
        <v>22</v>
      </c>
      <c r="D76" s="1">
        <v>94</v>
      </c>
      <c r="E76" s="1">
        <v>110</v>
      </c>
      <c r="F76" s="1" t="b">
        <v>0</v>
      </c>
      <c r="G76" s="1">
        <v>24</v>
      </c>
      <c r="H76" s="1" t="b">
        <v>1</v>
      </c>
      <c r="I76" s="1" t="b">
        <v>1</v>
      </c>
      <c r="J76" s="1">
        <v>150</v>
      </c>
      <c r="K76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</vt:lpstr>
      <vt:lpstr>INSTANCE1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 Yang</dc:creator>
  <cp:lastModifiedBy>Pin Yang</cp:lastModifiedBy>
  <dcterms:created xsi:type="dcterms:W3CDTF">2025-12-30T06:45:36Z</dcterms:created>
  <dcterms:modified xsi:type="dcterms:W3CDTF">2025-12-30T07:18:15Z</dcterms:modified>
</cp:coreProperties>
</file>